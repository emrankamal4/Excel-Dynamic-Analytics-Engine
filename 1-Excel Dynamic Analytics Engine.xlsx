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MED SOFTWARE\Desktop\"/>
    </mc:Choice>
  </mc:AlternateContent>
  <xr:revisionPtr revIDLastSave="0" documentId="13_ncr:1_{56B73BCD-76C5-4AC9-BA7C-77AD036965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Data" sheetId="1" r:id="rId1"/>
    <sheet name="Product Analysi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P49" i="3" a="1"/>
  <c r="P49" i="3" s="1"/>
  <c r="Q49" i="3" a="1"/>
  <c r="Q49" i="3" s="1"/>
  <c r="R49" i="3" a="1"/>
  <c r="R49" i="3" s="1"/>
  <c r="M49" i="3" a="1"/>
  <c r="M49" i="3" s="1"/>
  <c r="J49" i="3" a="1"/>
  <c r="D2" i="3"/>
  <c r="H26" i="3" a="1"/>
  <c r="H26" i="3" s="1"/>
  <c r="H32" i="3" a="1"/>
  <c r="H32" i="3" s="1"/>
  <c r="H38" i="3" a="1"/>
  <c r="H38" i="3" s="1"/>
  <c r="C2" i="3"/>
  <c r="B2" i="3"/>
  <c r="B6" i="3" a="1"/>
  <c r="B6" i="3" s="1"/>
  <c r="B25" i="3" a="1"/>
  <c r="B25" i="3" s="1"/>
  <c r="K49" i="3" l="1" a="1"/>
  <c r="K49" i="3" s="1"/>
  <c r="N49" i="3" a="1"/>
  <c r="N49" i="3" s="1"/>
  <c r="J49" i="3"/>
  <c r="E2" i="3"/>
  <c r="F2" i="3"/>
  <c r="E6" i="3" a="1"/>
  <c r="E6" i="3" s="1"/>
  <c r="C6" i="3" a="1"/>
  <c r="D6" i="3" a="1"/>
  <c r="D6" i="3" s="1"/>
  <c r="H2" i="3" l="1"/>
  <c r="C6" i="3"/>
  <c r="G6" i="3" s="1" a="1"/>
  <c r="G6" i="3" l="1"/>
  <c r="H49" i="3" s="1" a="1"/>
  <c r="H49" i="3" s="1"/>
  <c r="G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<sst xmlns="http://schemas.openxmlformats.org/spreadsheetml/2006/main" count="8496" uniqueCount="1277">
  <si>
    <t>OrderID</t>
  </si>
  <si>
    <t>OrderDate</t>
  </si>
  <si>
    <t>Product</t>
  </si>
  <si>
    <t>Region</t>
  </si>
  <si>
    <t>Channel</t>
  </si>
  <si>
    <t>CustomerSegment</t>
  </si>
  <si>
    <t>Salesperson</t>
  </si>
  <si>
    <t>Quantity</t>
  </si>
  <si>
    <t>UnitPrice</t>
  </si>
  <si>
    <t>Discount</t>
  </si>
  <si>
    <t>Revenue</t>
  </si>
  <si>
    <t>Cost</t>
  </si>
  <si>
    <t>Profit</t>
  </si>
  <si>
    <t>Month</t>
  </si>
  <si>
    <t>SO-00001</t>
  </si>
  <si>
    <t>Headset</t>
  </si>
  <si>
    <t>East</t>
  </si>
  <si>
    <t>Retail Store</t>
  </si>
  <si>
    <t>Consumer</t>
  </si>
  <si>
    <t>Sara</t>
  </si>
  <si>
    <t>2025-08</t>
  </si>
  <si>
    <t>SO-00002</t>
  </si>
  <si>
    <t>RAM</t>
  </si>
  <si>
    <t>West</t>
  </si>
  <si>
    <t>Online</t>
  </si>
  <si>
    <t>Maryam</t>
  </si>
  <si>
    <t>2025-07</t>
  </si>
  <si>
    <t>SO-00003</t>
  </si>
  <si>
    <t>Laptop</t>
  </si>
  <si>
    <t>SO-00004</t>
  </si>
  <si>
    <t>Keyboard</t>
  </si>
  <si>
    <t>North</t>
  </si>
  <si>
    <t>Enterprise</t>
  </si>
  <si>
    <t>Hassan</t>
  </si>
  <si>
    <t>2025-01</t>
  </si>
  <si>
    <t>SO-00005</t>
  </si>
  <si>
    <t>Docking Station</t>
  </si>
  <si>
    <t>Bilal</t>
  </si>
  <si>
    <t>2025-09</t>
  </si>
  <si>
    <t>SO-00006</t>
  </si>
  <si>
    <t>SSD</t>
  </si>
  <si>
    <t>South</t>
  </si>
  <si>
    <t>SO-00007</t>
  </si>
  <si>
    <t>Smartphone</t>
  </si>
  <si>
    <t>Corporate</t>
  </si>
  <si>
    <t>Small Business</t>
  </si>
  <si>
    <t>Omid</t>
  </si>
  <si>
    <t>SO-00008</t>
  </si>
  <si>
    <t>Tablet</t>
  </si>
  <si>
    <t>SO-00009</t>
  </si>
  <si>
    <t>Aisha</t>
  </si>
  <si>
    <t>2025-10</t>
  </si>
  <si>
    <t>SO-00010</t>
  </si>
  <si>
    <t>2025-03</t>
  </si>
  <si>
    <t>SO-00011</t>
  </si>
  <si>
    <t>SO-00012</t>
  </si>
  <si>
    <t>Lina</t>
  </si>
  <si>
    <t>SO-00013</t>
  </si>
  <si>
    <t>SO-00014</t>
  </si>
  <si>
    <t>Mouse</t>
  </si>
  <si>
    <t>2025-11</t>
  </si>
  <si>
    <t>SO-00015</t>
  </si>
  <si>
    <t>SO-00016</t>
  </si>
  <si>
    <t>2025-04</t>
  </si>
  <si>
    <t>SO-00017</t>
  </si>
  <si>
    <t>SO-00018</t>
  </si>
  <si>
    <t>SO-00019</t>
  </si>
  <si>
    <t>Printer</t>
  </si>
  <si>
    <t>SO-00020</t>
  </si>
  <si>
    <t>Monitor</t>
  </si>
  <si>
    <t>2025-12</t>
  </si>
  <si>
    <t>SO-00021</t>
  </si>
  <si>
    <t>2025-05</t>
  </si>
  <si>
    <t>SO-00022</t>
  </si>
  <si>
    <t>SO-00023</t>
  </si>
  <si>
    <t>SO-00024</t>
  </si>
  <si>
    <t>2025-06</t>
  </si>
  <si>
    <t>SO-00025</t>
  </si>
  <si>
    <t>SO-00026</t>
  </si>
  <si>
    <t>Farid</t>
  </si>
  <si>
    <t>SO-00027</t>
  </si>
  <si>
    <t>SO-00028</t>
  </si>
  <si>
    <t>SO-00029</t>
  </si>
  <si>
    <t>SO-00030</t>
  </si>
  <si>
    <t>SO-00031</t>
  </si>
  <si>
    <t>SO-00032</t>
  </si>
  <si>
    <t>SO-00033</t>
  </si>
  <si>
    <t>SO-00034</t>
  </si>
  <si>
    <t>SO-00035</t>
  </si>
  <si>
    <t>SO-00036</t>
  </si>
  <si>
    <t>SO-00037</t>
  </si>
  <si>
    <t>SO-00038</t>
  </si>
  <si>
    <t>SO-00039</t>
  </si>
  <si>
    <t>SO-00040</t>
  </si>
  <si>
    <t>SO-00041</t>
  </si>
  <si>
    <t>SO-00042</t>
  </si>
  <si>
    <t>SO-00043</t>
  </si>
  <si>
    <t>SO-00044</t>
  </si>
  <si>
    <t>SO-00045</t>
  </si>
  <si>
    <t>SO-00046</t>
  </si>
  <si>
    <t>SO-00047</t>
  </si>
  <si>
    <t>SO-00048</t>
  </si>
  <si>
    <t>2025-02</t>
  </si>
  <si>
    <t>SO-00049</t>
  </si>
  <si>
    <t>Webcam</t>
  </si>
  <si>
    <t>SO-00050</t>
  </si>
  <si>
    <t>SO-00051</t>
  </si>
  <si>
    <t>SO-00052</t>
  </si>
  <si>
    <t>SO-00053</t>
  </si>
  <si>
    <t>SO-00054</t>
  </si>
  <si>
    <t>SO-00055</t>
  </si>
  <si>
    <t>SO-00056</t>
  </si>
  <si>
    <t>SO-00057</t>
  </si>
  <si>
    <t>SO-00058</t>
  </si>
  <si>
    <t>SO-00059</t>
  </si>
  <si>
    <t>SO-00060</t>
  </si>
  <si>
    <t>SO-00061</t>
  </si>
  <si>
    <t>SO-00062</t>
  </si>
  <si>
    <t>SO-00063</t>
  </si>
  <si>
    <t>SO-00064</t>
  </si>
  <si>
    <t>SO-00065</t>
  </si>
  <si>
    <t>SO-00066</t>
  </si>
  <si>
    <t>SO-00067</t>
  </si>
  <si>
    <t>SO-00068</t>
  </si>
  <si>
    <t>SO-00069</t>
  </si>
  <si>
    <t>SO-00070</t>
  </si>
  <si>
    <t>SO-00071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</si>
  <si>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</si>
  <si>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</si>
  <si>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</si>
  <si>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</si>
  <si>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</si>
  <si>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</si>
  <si>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</si>
  <si>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</si>
  <si>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</si>
  <si>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</si>
  <si>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</si>
  <si>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</si>
  <si>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</si>
  <si>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</si>
  <si>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</si>
  <si>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</si>
  <si>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</si>
  <si>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</si>
  <si>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</si>
  <si>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</si>
  <si>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</si>
  <si>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</si>
  <si>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</si>
  <si>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</si>
  <si>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</si>
  <si>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</si>
  <si>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</si>
  <si>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</si>
  <si>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</si>
  <si>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</si>
  <si>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</si>
  <si>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</si>
  <si>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</si>
  <si>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</si>
  <si>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</si>
  <si>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</si>
  <si>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</si>
  <si>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</si>
  <si>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</si>
  <si>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</si>
  <si>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</si>
  <si>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</si>
  <si>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</si>
  <si>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</si>
  <si>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</si>
  <si>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</si>
  <si>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</si>
  <si>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</si>
  <si>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</si>
  <si>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</si>
  <si>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</si>
  <si>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</si>
  <si>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</si>
  <si>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</si>
  <si>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</si>
  <si>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</si>
  <si>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</si>
  <si>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</si>
  <si>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</si>
  <si>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</si>
  <si>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</si>
  <si>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</si>
  <si>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</si>
  <si>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</si>
  <si>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</si>
  <si>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</si>
  <si>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</si>
  <si>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</si>
  <si>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</si>
  <si>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</si>
  <si>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</si>
  <si>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</si>
  <si>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</si>
  <si>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</si>
  <si>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</si>
  <si>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</si>
  <si>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</si>
  <si>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</si>
  <si>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</si>
  <si>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</si>
  <si>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</si>
  <si>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</si>
  <si>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SO-00154</t>
  </si>
  <si>
    <t>SO-00155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</si>
  <si>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</si>
  <si>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</si>
  <si>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</si>
  <si>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</si>
  <si>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</si>
  <si>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</si>
  <si>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</si>
  <si>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</si>
  <si>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</si>
  <si>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</si>
  <si>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</si>
  <si>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</si>
  <si>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</si>
  <si>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</si>
  <si>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</si>
  <si>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</si>
  <si>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</si>
  <si>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</si>
  <si>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</si>
  <si>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</si>
  <si>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</si>
  <si>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</si>
  <si>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</si>
  <si>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</si>
  <si>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</si>
  <si>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</si>
  <si>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</si>
  <si>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</si>
  <si>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</si>
  <si>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</si>
  <si>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</si>
  <si>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</si>
  <si>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SO-00188</t>
  </si>
  <si>
    <t>SO-00189</t>
  </si>
  <si>
    <t>SO-00190</t>
  </si>
  <si>
    <t>SO-00191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</si>
  <si>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</si>
  <si>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</si>
  <si>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</si>
  <si>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</si>
  <si>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</si>
  <si>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</si>
  <si>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</si>
  <si>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</si>
  <si>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</si>
  <si>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</si>
  <si>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</si>
  <si>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</si>
  <si>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</si>
  <si>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</si>
  <si>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</si>
  <si>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</si>
  <si>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</si>
  <si>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</si>
  <si>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</si>
  <si>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</si>
  <si>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</si>
  <si>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</si>
  <si>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</si>
  <si>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</si>
  <si>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</si>
  <si>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</si>
  <si>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</si>
  <si>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</si>
  <si>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</si>
  <si>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</si>
  <si>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</si>
  <si>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</si>
  <si>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</si>
  <si>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</si>
  <si>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</si>
  <si>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</si>
  <si>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</si>
  <si>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</si>
  <si>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</si>
  <si>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</si>
  <si>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</si>
  <si>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</si>
  <si>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</si>
  <si>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</si>
  <si>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</si>
  <si>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</si>
  <si>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</si>
  <si>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</si>
  <si>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</si>
  <si>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</si>
  <si>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</si>
  <si>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</si>
  <si>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</si>
  <si>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</si>
  <si>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</si>
  <si>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</si>
  <si>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</si>
  <si>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</si>
  <si>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</si>
  <si>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</si>
  <si>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</si>
  <si>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</si>
  <si>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</si>
  <si>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</si>
  <si>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</si>
  <si>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</si>
  <si>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</si>
  <si>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</si>
  <si>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</si>
  <si>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</si>
  <si>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</si>
  <si>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</si>
  <si>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</si>
  <si>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</si>
  <si>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</si>
  <si>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</si>
  <si>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</si>
  <si>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</si>
  <si>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</si>
  <si>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</si>
  <si>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</si>
  <si>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</si>
  <si>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</si>
  <si>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</si>
  <si>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</si>
  <si>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</si>
  <si>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</si>
  <si>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</si>
  <si>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</si>
  <si>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</si>
  <si>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</si>
  <si>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</si>
  <si>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</si>
  <si>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</si>
  <si>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</si>
  <si>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</si>
  <si>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</si>
  <si>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</si>
  <si>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</si>
  <si>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</si>
  <si>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</si>
  <si>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</si>
  <si>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</si>
  <si>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</si>
  <si>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</si>
  <si>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</si>
  <si>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</si>
  <si>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</si>
  <si>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</si>
  <si>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</si>
  <si>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</si>
  <si>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</si>
  <si>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</si>
  <si>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</si>
  <si>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</si>
  <si>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</si>
  <si>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</si>
  <si>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</si>
  <si>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</si>
  <si>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</si>
  <si>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</si>
  <si>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</si>
  <si>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</si>
  <si>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</si>
  <si>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</si>
  <si>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</si>
  <si>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</si>
  <si>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</si>
  <si>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</si>
  <si>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</si>
  <si>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</si>
  <si>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</si>
  <si>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</si>
  <si>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</si>
  <si>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</si>
  <si>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</si>
  <si>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</si>
  <si>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</si>
  <si>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</si>
  <si>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</si>
  <si>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</si>
  <si>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</si>
  <si>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</si>
  <si>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</si>
  <si>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</si>
  <si>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</si>
  <si>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</si>
  <si>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</si>
  <si>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</si>
  <si>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</si>
  <si>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</si>
  <si>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</si>
  <si>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</si>
  <si>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</si>
  <si>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</si>
  <si>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</si>
  <si>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</si>
  <si>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</si>
  <si>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</si>
  <si>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</si>
  <si>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</si>
  <si>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</si>
  <si>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</si>
  <si>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</si>
  <si>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</si>
  <si>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</si>
  <si>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</si>
  <si>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</si>
  <si>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</si>
  <si>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</si>
  <si>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</si>
  <si>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</si>
  <si>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</si>
  <si>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</si>
  <si>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</si>
  <si>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</si>
  <si>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</si>
  <si>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</si>
  <si>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</si>
  <si>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</si>
  <si>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</si>
  <si>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</si>
  <si>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</si>
  <si>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</si>
  <si>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</si>
  <si>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</si>
  <si>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</si>
  <si>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</si>
  <si>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</si>
  <si>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</si>
  <si>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</si>
  <si>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</si>
  <si>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</si>
  <si>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</si>
  <si>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</si>
  <si>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</si>
  <si>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</si>
  <si>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</si>
  <si>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</si>
  <si>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</si>
  <si>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</si>
  <si>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</si>
  <si>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</si>
  <si>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</si>
  <si>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</si>
  <si>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</si>
  <si>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</si>
  <si>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</si>
  <si>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</si>
  <si>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</si>
  <si>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</si>
  <si>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</si>
  <si>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</si>
  <si>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</si>
  <si>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</si>
  <si>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</si>
  <si>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</si>
  <si>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</si>
  <si>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</si>
  <si>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</si>
  <si>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</si>
  <si>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</si>
  <si>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</si>
  <si>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</si>
  <si>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</si>
  <si>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</si>
  <si>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</si>
  <si>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</si>
  <si>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</si>
  <si>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</si>
  <si>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</si>
  <si>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</si>
  <si>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</si>
  <si>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</si>
  <si>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</si>
  <si>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</si>
  <si>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</si>
  <si>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</si>
  <si>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</si>
  <si>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</si>
  <si>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</si>
  <si>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</si>
  <si>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</si>
  <si>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</si>
  <si>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</si>
  <si>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</si>
  <si>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</si>
  <si>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</si>
  <si>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</si>
  <si>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</si>
  <si>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</si>
  <si>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</si>
  <si>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</si>
  <si>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</si>
  <si>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</si>
  <si>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</si>
  <si>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</si>
  <si>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</si>
  <si>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</si>
  <si>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</si>
  <si>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</si>
  <si>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</si>
  <si>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</si>
  <si>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</si>
  <si>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</si>
  <si>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</si>
  <si>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</si>
  <si>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</si>
  <si>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</si>
  <si>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</si>
  <si>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</si>
  <si>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</si>
  <si>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</si>
  <si>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</si>
  <si>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</si>
  <si>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</si>
  <si>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</si>
  <si>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</si>
  <si>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</si>
  <si>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</si>
  <si>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</si>
  <si>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</si>
  <si>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</si>
  <si>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</si>
  <si>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</si>
  <si>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</si>
  <si>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</si>
  <si>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</si>
  <si>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</si>
  <si>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</si>
  <si>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</si>
  <si>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</si>
  <si>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</si>
  <si>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</si>
  <si>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</si>
  <si>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</si>
  <si>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</si>
  <si>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</si>
  <si>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</si>
  <si>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</si>
  <si>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</si>
  <si>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</si>
  <si>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</si>
  <si>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</si>
  <si>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</si>
  <si>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</si>
  <si>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</si>
  <si>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</si>
  <si>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</si>
  <si>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</si>
  <si>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</si>
  <si>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</si>
  <si>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</si>
  <si>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</si>
  <si>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</si>
  <si>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</si>
  <si>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</si>
  <si>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</si>
  <si>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</si>
  <si>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</si>
  <si>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</si>
  <si>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</si>
  <si>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</si>
  <si>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</si>
  <si>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</si>
  <si>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</si>
  <si>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</si>
  <si>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</si>
  <si>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</si>
  <si>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</si>
  <si>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</si>
  <si>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</si>
  <si>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</si>
  <si>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</si>
  <si>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</si>
  <si>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</si>
  <si>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</si>
  <si>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</si>
  <si>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</si>
  <si>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</si>
  <si>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</si>
  <si>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</si>
  <si>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</si>
  <si>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</si>
  <si>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</si>
  <si>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</si>
  <si>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</si>
  <si>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</si>
  <si>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</si>
  <si>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</si>
  <si>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</si>
  <si>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</si>
  <si>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</si>
  <si>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</si>
  <si>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</si>
  <si>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</si>
  <si>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</si>
  <si>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</si>
  <si>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</si>
  <si>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</si>
  <si>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</si>
  <si>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</si>
  <si>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</si>
  <si>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</si>
  <si>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</si>
  <si>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</si>
  <si>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</si>
  <si>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</si>
  <si>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</si>
  <si>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</si>
  <si>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</si>
  <si>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</si>
  <si>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</si>
  <si>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</si>
  <si>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</si>
  <si>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</si>
  <si>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</si>
  <si>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</si>
  <si>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</si>
  <si>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</si>
  <si>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</si>
  <si>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</si>
  <si>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</si>
  <si>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</si>
  <si>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</si>
  <si>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</si>
  <si>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</si>
  <si>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</si>
  <si>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</si>
  <si>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</si>
  <si>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</si>
  <si>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</si>
  <si>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</si>
  <si>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</si>
  <si>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</si>
  <si>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</si>
  <si>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</si>
  <si>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</si>
  <si>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</si>
  <si>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</si>
  <si>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</si>
  <si>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</si>
  <si>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</si>
  <si>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</si>
  <si>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</si>
  <si>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</si>
  <si>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</si>
  <si>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</si>
  <si>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</si>
  <si>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</si>
  <si>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</si>
  <si>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</si>
  <si>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</si>
  <si>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</si>
  <si>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</si>
  <si>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</si>
  <si>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</si>
  <si>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</si>
  <si>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</si>
  <si>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</si>
  <si>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</si>
  <si>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</si>
  <si>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</si>
  <si>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</si>
  <si>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</si>
  <si>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</si>
  <si>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</si>
  <si>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</si>
  <si>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</si>
  <si>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</si>
  <si>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</si>
  <si>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</si>
  <si>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</si>
  <si>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</si>
  <si>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</si>
  <si>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</si>
  <si>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</si>
  <si>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</si>
  <si>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</si>
  <si>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</si>
  <si>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</si>
  <si>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</si>
  <si>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</si>
  <si>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</si>
  <si>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</si>
  <si>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</si>
  <si>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</si>
  <si>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</si>
  <si>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</si>
  <si>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</si>
  <si>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</si>
  <si>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</si>
  <si>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</si>
  <si>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</si>
  <si>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</si>
  <si>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</si>
  <si>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</si>
  <si>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</si>
  <si>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</si>
  <si>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</si>
  <si>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</si>
  <si>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</si>
  <si>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</si>
  <si>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</si>
  <si>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</si>
  <si>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</si>
  <si>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</si>
  <si>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</si>
  <si>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</si>
  <si>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</si>
  <si>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</si>
  <si>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</si>
  <si>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</si>
  <si>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</si>
  <si>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</si>
  <si>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</si>
  <si>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</si>
  <si>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</si>
  <si>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</si>
  <si>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</si>
  <si>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</si>
  <si>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</si>
  <si>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</si>
  <si>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</si>
  <si>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</si>
  <si>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</si>
  <si>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</si>
  <si>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</si>
  <si>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</si>
  <si>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</si>
  <si>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</si>
  <si>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</si>
  <si>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</si>
  <si>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</si>
  <si>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</si>
  <si>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</si>
  <si>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</si>
  <si>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</si>
  <si>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</si>
  <si>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</si>
  <si>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</si>
  <si>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</si>
  <si>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</si>
  <si>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</si>
  <si>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</si>
  <si>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</si>
  <si>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</si>
  <si>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</si>
  <si>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</si>
  <si>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</si>
  <si>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</si>
  <si>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</si>
  <si>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</si>
  <si>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</si>
  <si>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</si>
  <si>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</si>
  <si>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</si>
  <si>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</si>
  <si>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</si>
  <si>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</si>
  <si>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</si>
  <si>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</si>
  <si>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</si>
  <si>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</si>
  <si>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</si>
  <si>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</si>
  <si>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</si>
  <si>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</si>
  <si>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</si>
  <si>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</si>
  <si>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</si>
  <si>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</si>
  <si>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</si>
  <si>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</si>
  <si>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</si>
  <si>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</si>
  <si>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</si>
  <si>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</si>
  <si>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</si>
  <si>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</si>
  <si>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</si>
  <si>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</si>
  <si>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</si>
  <si>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</si>
  <si>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</si>
  <si>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</si>
  <si>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</si>
  <si>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</si>
  <si>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</si>
  <si>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</si>
  <si>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</si>
  <si>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</si>
  <si>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</si>
  <si>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</si>
  <si>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</si>
  <si>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</si>
  <si>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</si>
  <si>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</si>
  <si>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</si>
  <si>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</si>
  <si>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</si>
  <si>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</si>
  <si>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</si>
  <si>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</si>
  <si>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</si>
  <si>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</si>
  <si>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</si>
  <si>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</si>
  <si>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</si>
  <si>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</si>
  <si>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</si>
  <si>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</si>
  <si>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</si>
  <si>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</si>
  <si>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</si>
  <si>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</si>
  <si>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</si>
  <si>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</si>
  <si>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</si>
  <si>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</si>
  <si>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</si>
  <si>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</si>
  <si>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</si>
  <si>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</si>
  <si>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</si>
  <si>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</si>
  <si>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</si>
  <si>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</si>
  <si>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</si>
  <si>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</si>
  <si>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</si>
  <si>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</si>
  <si>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</si>
  <si>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</si>
  <si>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</si>
  <si>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</si>
  <si>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</si>
  <si>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</si>
  <si>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</si>
  <si>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</si>
  <si>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</si>
  <si>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</si>
  <si>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</si>
  <si>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</si>
  <si>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</si>
  <si>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</si>
  <si>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</si>
  <si>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</si>
  <si>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</si>
  <si>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</si>
  <si>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</si>
  <si>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</si>
  <si>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</si>
  <si>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</si>
  <si>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</si>
  <si>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</si>
  <si>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</si>
  <si>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</si>
  <si>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</si>
  <si>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</si>
  <si>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</si>
  <si>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</si>
  <si>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</si>
  <si>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</si>
  <si>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</si>
  <si>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</si>
  <si>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</si>
  <si>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</si>
  <si>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</si>
  <si>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</si>
  <si>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</si>
  <si>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</si>
  <si>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</si>
  <si>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</si>
  <si>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</si>
  <si>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</si>
  <si>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</si>
  <si>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</si>
  <si>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</si>
  <si>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</si>
  <si>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</si>
  <si>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</si>
  <si>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</si>
  <si>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</si>
  <si>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</si>
  <si>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</si>
  <si>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</si>
  <si>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</si>
  <si>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</si>
  <si>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</si>
  <si>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</si>
  <si>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</si>
  <si>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</si>
  <si>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</si>
  <si>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</si>
  <si>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</si>
  <si>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</si>
  <si>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</si>
  <si>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</si>
  <si>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</si>
  <si>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</si>
  <si>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</si>
  <si>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</si>
  <si>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</si>
  <si>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</si>
  <si>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</si>
  <si>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</si>
  <si>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</si>
  <si>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</si>
  <si>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</si>
  <si>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</si>
  <si>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</si>
  <si>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</si>
  <si>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</si>
  <si>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</si>
  <si>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</si>
  <si>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</si>
  <si>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</si>
  <si>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</si>
  <si>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</si>
  <si>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</si>
  <si>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</si>
  <si>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</si>
  <si>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</si>
  <si>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</si>
  <si>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</si>
  <si>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</si>
  <si>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</si>
  <si>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</si>
  <si>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</si>
  <si>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</si>
  <si>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</si>
  <si>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</si>
  <si>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</si>
  <si>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</si>
  <si>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</si>
  <si>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</si>
  <si>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</si>
  <si>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</si>
  <si>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</si>
  <si>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</si>
  <si>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</si>
  <si>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</si>
  <si>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</si>
  <si>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</si>
  <si>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</si>
  <si>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</si>
  <si>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</si>
  <si>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</si>
  <si>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</si>
  <si>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</si>
  <si>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</si>
  <si>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</si>
  <si>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</si>
  <si>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</si>
  <si>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</si>
  <si>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</si>
  <si>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</si>
  <si>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</si>
  <si>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</si>
  <si>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</si>
  <si>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</si>
  <si>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</si>
  <si>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</si>
  <si>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</si>
  <si>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</si>
  <si>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</si>
  <si>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</si>
  <si>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</si>
  <si>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</si>
  <si>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</si>
  <si>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</si>
  <si>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</si>
  <si>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</si>
  <si>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</si>
  <si>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</si>
  <si>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</si>
  <si>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</si>
  <si>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</si>
  <si>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</si>
  <si>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</si>
  <si>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</si>
  <si>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</si>
  <si>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</si>
  <si>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</si>
  <si>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</si>
  <si>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</si>
  <si>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</si>
  <si>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</si>
  <si>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</si>
  <si>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</si>
  <si>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</si>
  <si>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</si>
  <si>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</si>
  <si>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</si>
  <si>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</si>
  <si>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</si>
  <si>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</si>
  <si>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</si>
  <si>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</si>
  <si>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</si>
  <si>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</si>
  <si>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</si>
  <si>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</si>
  <si>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</si>
  <si>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</si>
  <si>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</si>
  <si>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</si>
  <si>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</si>
  <si>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</si>
  <si>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</si>
  <si>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</si>
  <si>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</si>
  <si>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</si>
  <si>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</si>
  <si>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</si>
  <si>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</si>
  <si>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</si>
  <si>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</si>
  <si>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</si>
  <si>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</si>
  <si>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</si>
  <si>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</si>
  <si>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</si>
  <si>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</si>
  <si>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</si>
  <si>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</si>
  <si>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</si>
  <si>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</si>
  <si>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</si>
  <si>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</si>
  <si>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</si>
  <si>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</si>
  <si>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</si>
  <si>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SO-00986</t>
  </si>
  <si>
    <t>SO-00987</t>
  </si>
  <si>
    <t>SO-00988</t>
  </si>
  <si>
    <t>SO-00989</t>
  </si>
  <si>
    <t>SO-00990</t>
  </si>
  <si>
    <t>SO-00991</t>
  </si>
  <si>
    <t>SO-00992</t>
  </si>
  <si>
    <t>SO-00993</t>
  </si>
  <si>
    <t>SO-00994</t>
  </si>
  <si>
    <t>SO-00995</t>
  </si>
  <si>
    <t>SO-00996</t>
  </si>
  <si>
    <t>SO-00997</t>
  </si>
  <si>
    <t>SO-00998</t>
  </si>
  <si>
    <t>SO-00999</t>
  </si>
  <si>
    <t>SO-01000</t>
  </si>
  <si>
    <t>SO-01001</t>
  </si>
  <si>
    <t>SO-01002</t>
  </si>
  <si>
    <t>SO-01003</t>
  </si>
  <si>
    <t>SO-01004</t>
  </si>
  <si>
    <t>SO-01005</t>
  </si>
  <si>
    <t>SO-01006</t>
  </si>
  <si>
    <t>SO-01007</t>
  </si>
  <si>
    <t>SO-01008</t>
  </si>
  <si>
    <t>SO-01009</t>
  </si>
  <si>
    <t>SO-01010</t>
  </si>
  <si>
    <t>SO-01011</t>
  </si>
  <si>
    <t>SO-01012</t>
  </si>
  <si>
    <t>SO-01013</t>
  </si>
  <si>
    <t>SO-01014</t>
  </si>
  <si>
    <t>SO-01015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</si>
  <si>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</si>
  <si>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</si>
  <si>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</si>
  <si>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</si>
  <si>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</si>
  <si>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</si>
  <si>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</si>
  <si>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</si>
  <si>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</si>
  <si>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SO-01025</t>
  </si>
  <si>
    <t>SO-01026</t>
  </si>
  <si>
    <t>SO-01027</t>
  </si>
  <si>
    <t>SO-01028</t>
  </si>
  <si>
    <t>SO-01029</t>
  </si>
  <si>
    <t>SO-01030</t>
  </si>
  <si>
    <t>SO-01031</t>
  </si>
  <si>
    <t>SO-01032</t>
  </si>
  <si>
    <t>SO-01033</t>
  </si>
  <si>
    <t>SO-01034</t>
  </si>
  <si>
    <t>SO-01035</t>
  </si>
  <si>
    <t>SO-01036</t>
  </si>
  <si>
    <t>SO-01037</t>
  </si>
  <si>
    <t>SO-01038</t>
  </si>
  <si>
    <t>SO-01039</t>
  </si>
  <si>
    <t>SO-01040</t>
  </si>
  <si>
    <t>SO-01041</t>
  </si>
  <si>
    <t>SO-01042</t>
  </si>
  <si>
    <t>SO-01043</t>
  </si>
  <si>
    <t>SO-01044</t>
  </si>
  <si>
    <t>SO-01045</t>
  </si>
  <si>
    <t>SO-01046</t>
  </si>
  <si>
    <t>SO-01047</t>
  </si>
  <si>
    <t>SO-01048</t>
  </si>
  <si>
    <t>SO-01049</t>
  </si>
  <si>
    <t>SO-01050</t>
  </si>
  <si>
    <t>SO-01051</t>
  </si>
  <si>
    <t>SO-01052</t>
  </si>
  <si>
    <t>SO-01053</t>
  </si>
  <si>
    <t>SO-01054</t>
  </si>
  <si>
    <t>SO-01055</t>
  </si>
  <si>
    <t>SO-01056</t>
  </si>
  <si>
    <t>SO-01057</t>
  </si>
  <si>
    <t>SO-01058</t>
  </si>
  <si>
    <t>SO-01059</t>
  </si>
  <si>
    <t>SO-01060</t>
  </si>
  <si>
    <t>SO-01061</t>
  </si>
  <si>
    <t>SO-01062</t>
  </si>
  <si>
    <t>SO-01063</t>
  </si>
  <si>
    <t>SO-01064</t>
  </si>
  <si>
    <t>SO-01065</t>
  </si>
  <si>
    <t>SO-01066</t>
  </si>
  <si>
    <t>SO-01067</t>
  </si>
  <si>
    <t>SO-01068</t>
  </si>
  <si>
    <t>SO-01069</t>
  </si>
  <si>
    <t>SO-01070</t>
  </si>
  <si>
    <t>SO-01071</t>
  </si>
  <si>
    <t>SO-01072</t>
  </si>
  <si>
    <t>SO-01073</t>
  </si>
  <si>
    <t>SO-01074</t>
  </si>
  <si>
    <t>SO-01075</t>
  </si>
  <si>
    <t>SO-01076</t>
  </si>
  <si>
    <t>SO-01077</t>
  </si>
  <si>
    <t>SO-01078</t>
  </si>
  <si>
    <t>SO-01079</t>
  </si>
  <si>
    <t>SO-01080</t>
  </si>
  <si>
    <t>SO-01081</t>
  </si>
  <si>
    <t>SO-01082</t>
  </si>
  <si>
    <t>SO-01083</t>
  </si>
  <si>
    <t>SO-01084</t>
  </si>
  <si>
    <t>SO-01085</t>
  </si>
  <si>
    <t>SO-01086</t>
  </si>
  <si>
    <t>SO-01087</t>
  </si>
  <si>
    <t>SO-01088</t>
  </si>
  <si>
    <t>SO-01089</t>
  </si>
  <si>
    <t>SO-01090</t>
  </si>
  <si>
    <t>SO-01091</t>
  </si>
  <si>
    <t>SO-01092</t>
  </si>
  <si>
    <t>SO-01093</t>
  </si>
  <si>
    <t>SO-01094</t>
  </si>
  <si>
    <t>SO-01095</t>
  </si>
  <si>
    <t>SO-01096</t>
  </si>
  <si>
    <t>SO-01097</t>
  </si>
  <si>
    <t>SO-01098</t>
  </si>
  <si>
    <t>SO-01099</t>
  </si>
  <si>
    <t>SO-01100</t>
  </si>
  <si>
    <t>SO-01101</t>
  </si>
  <si>
    <t>SO-01102</t>
  </si>
  <si>
    <t>SO-01103</t>
  </si>
  <si>
    <t>SO-01104</t>
  </si>
  <si>
    <t>SO-01105</t>
  </si>
  <si>
    <t>SO-01106</t>
  </si>
  <si>
    <t>SO-01107</t>
  </si>
  <si>
    <t>SO-01108</t>
  </si>
  <si>
    <t>SO-01109</t>
  </si>
  <si>
    <t>SO-01110</t>
  </si>
  <si>
    <t>SO-01111</t>
  </si>
  <si>
    <t>SO-01112</t>
  </si>
  <si>
    <t>SO-01113</t>
  </si>
  <si>
    <t>SO-01114</t>
  </si>
  <si>
    <t>SO-01115</t>
  </si>
  <si>
    <t>SO-01116</t>
  </si>
  <si>
    <t>SO-01117</t>
  </si>
  <si>
    <t>SO-01118</t>
  </si>
  <si>
    <t>SO-01119</t>
  </si>
  <si>
    <t>SO-01120</t>
  </si>
  <si>
    <t>SO-01121</t>
  </si>
  <si>
    <t>SO-01122</t>
  </si>
  <si>
    <t>SO-01123</t>
  </si>
  <si>
    <t>SO-01124</t>
  </si>
  <si>
    <t>SO-01125</t>
  </si>
  <si>
    <t>SO-01126</t>
  </si>
  <si>
    <t>SO-01127</t>
  </si>
  <si>
    <t>SO-01128</t>
  </si>
  <si>
    <t>SO-01129</t>
  </si>
  <si>
    <t>SO-01130</t>
  </si>
  <si>
    <t>SO-01131</t>
  </si>
  <si>
    <t>SO-01132</t>
  </si>
  <si>
    <t>SO-01133</t>
  </si>
  <si>
    <t>SO-01134</t>
  </si>
  <si>
    <t>SO-01135</t>
  </si>
  <si>
    <t>SO-01136</t>
  </si>
  <si>
    <t>SO-01137</t>
  </si>
  <si>
    <t>SO-01138</t>
  </si>
  <si>
    <t>SO-01139</t>
  </si>
  <si>
    <t>SO-01140</t>
  </si>
  <si>
    <t>SO-01141</t>
  </si>
  <si>
    <t>SO-01142</t>
  </si>
  <si>
    <t>SO-01143</t>
  </si>
  <si>
    <t>SO-01144</t>
  </si>
  <si>
    <t>SO-01145</t>
  </si>
  <si>
    <t>SO-01146</t>
  </si>
  <si>
    <t>SO-01147</t>
  </si>
  <si>
    <t>SO-01148</t>
  </si>
  <si>
    <t>SO-01149</t>
  </si>
  <si>
    <t>SO-01150</t>
  </si>
  <si>
    <t>SO-01151</t>
  </si>
  <si>
    <t>SO-01152</t>
  </si>
  <si>
    <t>SO-01153</t>
  </si>
  <si>
    <t>SO-01154</t>
  </si>
  <si>
    <t>SO-01155</t>
  </si>
  <si>
    <t>SO-01156</t>
  </si>
  <si>
    <t>SO-01157</t>
  </si>
  <si>
    <t>SO-01158</t>
  </si>
  <si>
    <t>SO-01159</t>
  </si>
  <si>
    <t>SO-01160</t>
  </si>
  <si>
    <t>SO-01161</t>
  </si>
  <si>
    <t>SO-01162</t>
  </si>
  <si>
    <t>SO-01163</t>
  </si>
  <si>
    <t>SO-01164</t>
  </si>
  <si>
    <t>SO-01165</t>
  </si>
  <si>
    <t>SO-01166</t>
  </si>
  <si>
    <t>SO-01167</t>
  </si>
  <si>
    <t>SO-01168</t>
  </si>
  <si>
    <t>SO-01169</t>
  </si>
  <si>
    <t>SO-01170</t>
  </si>
  <si>
    <t>SO-01171</t>
  </si>
  <si>
    <t>SO-01172</t>
  </si>
  <si>
    <t>SO-01173</t>
  </si>
  <si>
    <t>SO-01174</t>
  </si>
  <si>
    <t>SO-01175</t>
  </si>
  <si>
    <t>SO-01176</t>
  </si>
  <si>
    <t>SO-01177</t>
  </si>
  <si>
    <t>SO-01178</t>
  </si>
  <si>
    <t>SO-01179</t>
  </si>
  <si>
    <t>SO-01180</t>
  </si>
  <si>
    <t>SO-01181</t>
  </si>
  <si>
    <t>SO-01182</t>
  </si>
  <si>
    <t>SO-01183</t>
  </si>
  <si>
    <t>SO-01184</t>
  </si>
  <si>
    <t>SO-01185</t>
  </si>
  <si>
    <t>SO-01186</t>
  </si>
  <si>
    <t>SO-01187</t>
  </si>
  <si>
    <t>SO-01188</t>
  </si>
  <si>
    <t>SO-01189</t>
  </si>
  <si>
    <t>SO-01190</t>
  </si>
  <si>
    <t>SO-01191</t>
  </si>
  <si>
    <t>SO-01192</t>
  </si>
  <si>
    <t>SO-01193</t>
  </si>
  <si>
    <t>SO-01194</t>
  </si>
  <si>
    <t>SO-01195</t>
  </si>
  <si>
    <t>SO-01196</t>
  </si>
  <si>
    <t>SO-01197</t>
  </si>
  <si>
    <t>SO-01198</t>
  </si>
  <si>
    <t>SO-01199</t>
  </si>
  <si>
    <t>SO-01200</t>
  </si>
  <si>
    <t>TOP 5 Products</t>
  </si>
  <si>
    <t>Customer Segment</t>
  </si>
  <si>
    <t>Max Revenue</t>
  </si>
  <si>
    <t>Min Revenue</t>
  </si>
  <si>
    <t>Regions</t>
  </si>
  <si>
    <t>Customer segment</t>
  </si>
  <si>
    <t>Units Sold</t>
  </si>
  <si>
    <t>west</t>
  </si>
  <si>
    <t>Total Revenue</t>
  </si>
  <si>
    <t>Total Profit</t>
  </si>
  <si>
    <t>Total Units Sold</t>
  </si>
  <si>
    <t>AOV</t>
  </si>
  <si>
    <t>Profit Margin</t>
  </si>
  <si>
    <t>Top Selling Product</t>
  </si>
  <si>
    <t>Top Performing Region</t>
  </si>
  <si>
    <t>Top Performing SP</t>
  </si>
  <si>
    <t>region</t>
  </si>
  <si>
    <t>Zero Quantity Orders</t>
  </si>
  <si>
    <t>High Discount Orders</t>
  </si>
  <si>
    <t>Suspicious Transactions</t>
  </si>
  <si>
    <t>Data Quality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</si>
</sst>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 tint="0.1499984740745262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</font>
    <font>
      <sz val="11"/>
      <color theme="1" tint="0.249977111117893"/>
      <name val="Calibri"/>
      <family val="2"/>
      <scheme val="minor"/>
    </font>
    <font>
      <b/>
      <sz val="11"/>
      <name val="Calibri"/>
      <family val="2"/>
    </font>
    <font>
      <b/>
      <sz val="14"/>
      <color theme="1" tint="0.249977111117893"/>
      <name val="Calibri"/>
      <family val="2"/>
    </font>
    <font>
      <b/>
      <sz val="14"/>
      <color theme="1" tint="0.249977111117893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b/>
      <sz val="13"/>
      <color theme="1" tint="0.249977111117893"/>
      <name val="Calibri"/>
      <family val="2"/>
      <scheme val="minor"/>
    </font>
    <font>
      <sz val="13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/>
        <b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2" borderId="2" xfId="0" applyFont="1" applyFill="1" applyBorder="1"/>
    <xf numFmtId="0" fontId="3" fillId="3" borderId="2" xfId="0" applyFont="1" applyFill="1" applyBorder="1" applyAlignment="1">
      <alignment horizontal="centerContinuous" vertical="center"/>
    </xf>
    <xf numFmtId="0" fontId="4" fillId="4" borderId="0" xfId="0" applyFont="1" applyFill="1" applyAlignment="1">
      <alignment horizontal="center" vertical="top"/>
    </xf>
    <xf numFmtId="0" fontId="5" fillId="3" borderId="2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/>
    <xf numFmtId="0" fontId="2" fillId="2" borderId="3" xfId="0" applyFont="1" applyFill="1" applyBorder="1"/>
    <xf numFmtId="165" fontId="2" fillId="2" borderId="3" xfId="0" applyNumberFormat="1" applyFont="1" applyFill="1" applyBorder="1"/>
    <xf numFmtId="0" fontId="6" fillId="0" borderId="1" xfId="0" applyFont="1" applyBorder="1" applyAlignment="1">
      <alignment horizontal="center" vertical="top"/>
    </xf>
    <xf numFmtId="9" fontId="0" fillId="0" borderId="0" xfId="0" applyNumberFormat="1"/>
    <xf numFmtId="0" fontId="3" fillId="3" borderId="4" xfId="0" applyFont="1" applyFill="1" applyBorder="1" applyAlignment="1">
      <alignment horizontal="centerContinuous" vertical="center"/>
    </xf>
    <xf numFmtId="0" fontId="0" fillId="0" borderId="2" xfId="0" applyBorder="1"/>
    <xf numFmtId="165" fontId="0" fillId="0" borderId="2" xfId="0" applyNumberFormat="1" applyBorder="1"/>
    <xf numFmtId="10" fontId="0" fillId="0" borderId="2" xfId="0" applyNumberFormat="1" applyBorder="1"/>
    <xf numFmtId="0" fontId="4" fillId="5" borderId="6" xfId="0" applyFont="1" applyFill="1" applyBorder="1" applyAlignment="1">
      <alignment horizontal="centerContinuous" vertical="top"/>
    </xf>
    <xf numFmtId="0" fontId="4" fillId="5" borderId="7" xfId="0" applyFont="1" applyFill="1" applyBorder="1" applyAlignment="1">
      <alignment horizontal="centerContinuous" vertical="top"/>
    </xf>
    <xf numFmtId="0" fontId="7" fillId="5" borderId="5" xfId="0" applyFont="1" applyFill="1" applyBorder="1" applyAlignment="1">
      <alignment horizontal="centerContinuous" vertical="center"/>
    </xf>
    <xf numFmtId="0" fontId="8" fillId="3" borderId="2" xfId="0" applyFont="1" applyFill="1" applyBorder="1" applyAlignment="1">
      <alignment horizontal="center" vertical="center"/>
    </xf>
    <xf numFmtId="165" fontId="9" fillId="2" borderId="2" xfId="0" applyNumberFormat="1" applyFont="1" applyFill="1" applyBorder="1"/>
    <xf numFmtId="0" fontId="9" fillId="2" borderId="2" xfId="0" applyFont="1" applyFill="1" applyBorder="1"/>
    <xf numFmtId="9" fontId="9" fillId="2" borderId="2" xfId="0" applyNumberFormat="1" applyFont="1" applyFill="1" applyBorder="1"/>
    <xf numFmtId="0" fontId="10" fillId="3" borderId="2" xfId="0" applyFont="1" applyFill="1" applyBorder="1" applyAlignment="1">
      <alignment horizontal="centerContinuous"/>
    </xf>
    <xf numFmtId="0" fontId="11" fillId="2" borderId="2" xfId="0" applyFont="1" applyFill="1" applyBorder="1"/>
    <xf numFmtId="165" fontId="11" fillId="2" borderId="2" xfId="0" applyNumberFormat="1" applyFont="1" applyFill="1" applyBorder="1"/>
    <xf numFmtId="0" fontId="3" fillId="3" borderId="2" xfId="0" applyFont="1" applyFill="1" applyBorder="1" applyAlignment="1">
      <alignment horizontal="centerContinuous"/>
    </xf>
  </cellXfs>
  <cellStyles count="1">
    <cellStyle name="Normal" xfId="0" builtinId="0"/>
  </cellStyles>
  <dxfs count="5">
    <dxf>
      <numFmt numFmtId="13" formatCode="0%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33E421-97CC-4E76-9452-97948B5CD384}" name="Table4" displayName="Table4" ref="A1:N1201" totalsRowShown="0" headerRowDxfId="4" headerRowBorderDxfId="3" tableBorderDxfId="2">
  <autoFilter ref="A1:N1201" xr:uid="{5033E421-97CC-4E76-9452-97948B5CD384}"/>
  <tableColumns count="14">
    <tableColumn id="1" xr3:uid="{E2BD1BD7-5AAF-41E5-91E6-1262DAD7D6E3}" name="OrderID"/>
    <tableColumn id="2" xr3:uid="{B18ABBE8-03C7-4AD0-8E8E-37E3978E1685}" name="OrderDate" dataDxfId="1"/>
    <tableColumn id="3" xr3:uid="{32B1F950-9726-46CC-83FF-18D8E012C5FA}" name="Product"/>
    <tableColumn id="4" xr3:uid="{49DD49D7-A071-4D52-BDE1-6314BF530B6B}" name="Region"/>
    <tableColumn id="5" xr3:uid="{78CF20C7-EFD1-43EF-AD8E-F60A38D35A40}" name="Channel"/>
    <tableColumn id="6" xr3:uid="{C5CF6EF0-DFA8-420B-A5A7-4EBA17D2C6F4}" name="CustomerSegment"/>
    <tableColumn id="7" xr3:uid="{91209CC5-0CED-4883-BCA7-C150C27C9FEA}" name="Salesperson"/>
    <tableColumn id="8" xr3:uid="{46285338-4AC1-4F35-BB36-0F58806D0C59}" name="Quantity"/>
    <tableColumn id="9" xr3:uid="{5EFA104B-8259-484B-9518-4571446C89D1}" name="UnitPrice"/>
    <tableColumn id="10" xr3:uid="{50F49DE9-E378-4B04-B380-8D155253ECC1}" name="Discount" dataDxfId="0"/>
    <tableColumn id="11" xr3:uid="{5332FBE9-1FBE-44F5-9021-5543883DC262}" name="Revenue"/>
    <tableColumn id="12" xr3:uid="{CD9C7728-3DD6-4847-81AC-45F5CF5FD284}" name="Cost"/>
    <tableColumn id="13" xr3:uid="{CD94CBF0-8EB1-4C1A-82E7-0707E1F62DD1}" name="Profit"/>
    <tableColumn id="14" xr3:uid="{C67AF0E7-B473-44B7-9421-E9D3168CC4EA}" name="Month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01"/>
  <sheetViews>
    <sheetView showGridLines="0" workbookViewId="0">
      <selection activeCell="G3" sqref="G3"/>
    </sheetView>
  </sheetViews>
  <sheetFormatPr defaultRowHeight="14.4" x14ac:dyDescent="0.3"/>
  <cols>
    <col min="1" max="1" width="12" bestFit="1" customWidth="1"/>
    <col min="2" max="2" width="18.109375" bestFit="1" customWidth="1"/>
    <col min="3" max="3" width="13.77734375" bestFit="1" customWidth="1"/>
    <col min="4" max="4" width="11.21875" bestFit="1" customWidth="1"/>
    <col min="5" max="5" width="12.33203125" bestFit="1" customWidth="1"/>
    <col min="6" max="6" width="21.109375" bestFit="1" customWidth="1"/>
    <col min="7" max="7" width="15.44140625" bestFit="1" customWidth="1"/>
    <col min="8" max="8" width="12.77734375" bestFit="1" customWidth="1"/>
    <col min="9" max="9" width="13.109375" bestFit="1" customWidth="1"/>
    <col min="10" max="11" width="12.77734375" bestFit="1" customWidth="1"/>
    <col min="12" max="12" width="9.109375" bestFit="1" customWidth="1"/>
    <col min="13" max="13" width="10.109375" bestFit="1" customWidth="1"/>
    <col min="14" max="14" width="11.2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1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45872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</v>
      </c>
      <c r="I2">
        <v>81.760000000000005</v>
      </c>
      <c r="J2" s="13">
        <v>0.05</v>
      </c>
      <c r="K2">
        <v>310.69</v>
      </c>
      <c r="L2">
        <v>199.89</v>
      </c>
      <c r="M2">
        <v>110.8</v>
      </c>
      <c r="N2" t="s">
        <v>20</v>
      </c>
    </row>
    <row r="3" spans="1:14" x14ac:dyDescent="0.3">
      <c r="A3" t="s">
        <v>21</v>
      </c>
      <c r="B3" s="1">
        <v>45849</v>
      </c>
      <c r="C3" t="s">
        <v>22</v>
      </c>
      <c r="D3" t="s">
        <v>23</v>
      </c>
      <c r="E3" t="s">
        <v>24</v>
      </c>
      <c r="F3" t="s">
        <v>18</v>
      </c>
      <c r="G3" t="s">
        <v>25</v>
      </c>
      <c r="H3">
        <v>7</v>
      </c>
      <c r="I3">
        <v>76.849999999999994</v>
      </c>
      <c r="J3" s="13">
        <v>0.1</v>
      </c>
      <c r="K3">
        <v>484.15</v>
      </c>
      <c r="L3">
        <v>334.86</v>
      </c>
      <c r="M3">
        <v>149.29</v>
      </c>
      <c r="N3" t="s">
        <v>26</v>
      </c>
    </row>
    <row r="4" spans="1:14" x14ac:dyDescent="0.3">
      <c r="A4" t="s">
        <v>27</v>
      </c>
      <c r="B4" s="1">
        <v>45845</v>
      </c>
      <c r="C4" t="s">
        <v>28</v>
      </c>
      <c r="D4" t="s">
        <v>23</v>
      </c>
      <c r="E4" t="s">
        <v>24</v>
      </c>
      <c r="F4" t="s">
        <v>18</v>
      </c>
      <c r="G4" t="s">
        <v>25</v>
      </c>
      <c r="H4">
        <v>3</v>
      </c>
      <c r="I4">
        <v>859.38</v>
      </c>
      <c r="J4" s="13">
        <v>0.03</v>
      </c>
      <c r="K4">
        <v>2500.8000000000002</v>
      </c>
      <c r="L4">
        <v>1519.39</v>
      </c>
      <c r="M4">
        <v>981.41</v>
      </c>
      <c r="N4" t="s">
        <v>26</v>
      </c>
    </row>
    <row r="5" spans="1:14" x14ac:dyDescent="0.3">
      <c r="A5" t="s">
        <v>29</v>
      </c>
      <c r="B5" s="1">
        <v>45678</v>
      </c>
      <c r="C5" t="s">
        <v>30</v>
      </c>
      <c r="D5" t="s">
        <v>31</v>
      </c>
      <c r="E5" t="s">
        <v>24</v>
      </c>
      <c r="F5" t="s">
        <v>32</v>
      </c>
      <c r="G5" t="s">
        <v>33</v>
      </c>
      <c r="H5">
        <v>3</v>
      </c>
      <c r="I5">
        <v>55.16</v>
      </c>
      <c r="J5" s="13">
        <v>0</v>
      </c>
      <c r="K5">
        <v>165.47</v>
      </c>
      <c r="L5">
        <v>116.08</v>
      </c>
      <c r="M5">
        <v>49.39</v>
      </c>
      <c r="N5" t="s">
        <v>34</v>
      </c>
    </row>
    <row r="6" spans="1:14" x14ac:dyDescent="0.3">
      <c r="A6" t="s">
        <v>35</v>
      </c>
      <c r="B6" s="1">
        <v>45921</v>
      </c>
      <c r="C6" t="s">
        <v>36</v>
      </c>
      <c r="D6" t="s">
        <v>16</v>
      </c>
      <c r="E6" t="s">
        <v>24</v>
      </c>
      <c r="F6" t="s">
        <v>18</v>
      </c>
      <c r="G6" t="s">
        <v>37</v>
      </c>
      <c r="H6">
        <v>1</v>
      </c>
      <c r="I6">
        <v>141.68</v>
      </c>
      <c r="J6" s="13">
        <v>0</v>
      </c>
      <c r="K6">
        <v>141.68</v>
      </c>
      <c r="L6">
        <v>89</v>
      </c>
      <c r="M6">
        <v>52.68</v>
      </c>
      <c r="N6" t="s">
        <v>38</v>
      </c>
    </row>
    <row r="7" spans="1:14" x14ac:dyDescent="0.3">
      <c r="A7" t="s">
        <v>39</v>
      </c>
      <c r="B7" s="1">
        <v>45848</v>
      </c>
      <c r="C7" t="s">
        <v>40</v>
      </c>
      <c r="D7" t="s">
        <v>41</v>
      </c>
      <c r="E7" t="s">
        <v>17</v>
      </c>
      <c r="F7" t="s">
        <v>32</v>
      </c>
      <c r="G7" t="s">
        <v>25</v>
      </c>
      <c r="H7">
        <v>3</v>
      </c>
      <c r="I7">
        <v>105.86</v>
      </c>
      <c r="J7" s="13">
        <v>0.05</v>
      </c>
      <c r="K7">
        <v>301.69</v>
      </c>
      <c r="L7">
        <v>195.93</v>
      </c>
      <c r="M7">
        <v>105.76</v>
      </c>
      <c r="N7" t="s">
        <v>26</v>
      </c>
    </row>
    <row r="8" spans="1:14" x14ac:dyDescent="0.3">
      <c r="A8" t="s">
        <v>42</v>
      </c>
      <c r="B8" s="1">
        <v>45847</v>
      </c>
      <c r="C8" t="s">
        <v>43</v>
      </c>
      <c r="D8" t="s">
        <v>23</v>
      </c>
      <c r="E8" t="s">
        <v>44</v>
      </c>
      <c r="F8" t="s">
        <v>45</v>
      </c>
      <c r="G8" t="s">
        <v>46</v>
      </c>
      <c r="H8">
        <v>2</v>
      </c>
      <c r="I8">
        <v>648.17999999999995</v>
      </c>
      <c r="J8" s="13">
        <v>0.05</v>
      </c>
      <c r="K8">
        <v>1231.55</v>
      </c>
      <c r="L8">
        <v>886.93</v>
      </c>
      <c r="M8">
        <v>344.62</v>
      </c>
      <c r="N8" t="s">
        <v>26</v>
      </c>
    </row>
    <row r="9" spans="1:14" x14ac:dyDescent="0.3">
      <c r="A9" t="s">
        <v>47</v>
      </c>
      <c r="B9" s="1">
        <v>45672</v>
      </c>
      <c r="C9" t="s">
        <v>48</v>
      </c>
      <c r="D9" t="s">
        <v>31</v>
      </c>
      <c r="E9" t="s">
        <v>24</v>
      </c>
      <c r="F9" t="s">
        <v>32</v>
      </c>
      <c r="G9" t="s">
        <v>19</v>
      </c>
      <c r="H9">
        <v>2</v>
      </c>
      <c r="I9">
        <v>330.26</v>
      </c>
      <c r="J9" s="13">
        <v>0.05</v>
      </c>
      <c r="K9">
        <v>627.49</v>
      </c>
      <c r="L9">
        <v>401.72</v>
      </c>
      <c r="M9">
        <v>225.77</v>
      </c>
      <c r="N9" t="s">
        <v>34</v>
      </c>
    </row>
    <row r="10" spans="1:14" x14ac:dyDescent="0.3">
      <c r="A10" t="s">
        <v>49</v>
      </c>
      <c r="B10" s="1">
        <v>45946</v>
      </c>
      <c r="C10" t="s">
        <v>15</v>
      </c>
      <c r="D10" t="s">
        <v>16</v>
      </c>
      <c r="E10" t="s">
        <v>24</v>
      </c>
      <c r="F10" t="s">
        <v>18</v>
      </c>
      <c r="G10" t="s">
        <v>50</v>
      </c>
      <c r="H10">
        <v>1</v>
      </c>
      <c r="I10">
        <v>71.900000000000006</v>
      </c>
      <c r="J10" s="13">
        <v>0</v>
      </c>
      <c r="K10">
        <v>71.900000000000006</v>
      </c>
      <c r="L10">
        <v>51.93</v>
      </c>
      <c r="M10">
        <v>19.97</v>
      </c>
      <c r="N10" t="s">
        <v>51</v>
      </c>
    </row>
    <row r="11" spans="1:14" x14ac:dyDescent="0.3">
      <c r="A11" t="s">
        <v>52</v>
      </c>
      <c r="B11" s="1">
        <v>45719</v>
      </c>
      <c r="C11" t="s">
        <v>43</v>
      </c>
      <c r="D11" t="s">
        <v>23</v>
      </c>
      <c r="E11" t="s">
        <v>17</v>
      </c>
      <c r="F11" t="s">
        <v>45</v>
      </c>
      <c r="G11" t="s">
        <v>25</v>
      </c>
      <c r="H11">
        <v>2</v>
      </c>
      <c r="I11">
        <v>663.4</v>
      </c>
      <c r="J11" s="13">
        <v>0</v>
      </c>
      <c r="K11">
        <v>1326.81</v>
      </c>
      <c r="L11">
        <v>867.95</v>
      </c>
      <c r="M11">
        <v>458.86</v>
      </c>
      <c r="N11" t="s">
        <v>53</v>
      </c>
    </row>
    <row r="12" spans="1:14" x14ac:dyDescent="0.3">
      <c r="A12" t="s">
        <v>54</v>
      </c>
      <c r="B12" s="1">
        <v>45875</v>
      </c>
      <c r="C12" t="s">
        <v>48</v>
      </c>
      <c r="D12" t="s">
        <v>16</v>
      </c>
      <c r="E12" t="s">
        <v>17</v>
      </c>
      <c r="F12" t="s">
        <v>18</v>
      </c>
      <c r="G12" t="s">
        <v>50</v>
      </c>
      <c r="H12">
        <v>1</v>
      </c>
      <c r="I12">
        <v>338.11</v>
      </c>
      <c r="J12" s="13">
        <v>0.05</v>
      </c>
      <c r="K12">
        <v>321.20999999999998</v>
      </c>
      <c r="L12">
        <v>247.55</v>
      </c>
      <c r="M12">
        <v>73.66</v>
      </c>
      <c r="N12" t="s">
        <v>20</v>
      </c>
    </row>
    <row r="13" spans="1:14" x14ac:dyDescent="0.3">
      <c r="A13" t="s">
        <v>55</v>
      </c>
      <c r="B13" s="1">
        <v>45898</v>
      </c>
      <c r="C13" t="s">
        <v>22</v>
      </c>
      <c r="D13" t="s">
        <v>23</v>
      </c>
      <c r="E13" t="s">
        <v>17</v>
      </c>
      <c r="F13" t="s">
        <v>45</v>
      </c>
      <c r="G13" t="s">
        <v>56</v>
      </c>
      <c r="H13">
        <v>2</v>
      </c>
      <c r="I13">
        <v>78.39</v>
      </c>
      <c r="J13" s="13">
        <v>0</v>
      </c>
      <c r="K13">
        <v>156.77000000000001</v>
      </c>
      <c r="L13">
        <v>119.01</v>
      </c>
      <c r="M13">
        <v>37.76</v>
      </c>
      <c r="N13" t="s">
        <v>20</v>
      </c>
    </row>
    <row r="14" spans="1:14" x14ac:dyDescent="0.3">
      <c r="A14" t="s">
        <v>57</v>
      </c>
      <c r="B14" s="1">
        <v>45844</v>
      </c>
      <c r="C14" t="s">
        <v>30</v>
      </c>
      <c r="D14" t="s">
        <v>16</v>
      </c>
      <c r="E14" t="s">
        <v>24</v>
      </c>
      <c r="F14" t="s">
        <v>32</v>
      </c>
      <c r="G14" t="s">
        <v>56</v>
      </c>
      <c r="H14">
        <v>4</v>
      </c>
      <c r="I14">
        <v>54.01</v>
      </c>
      <c r="J14" s="13">
        <v>0</v>
      </c>
      <c r="K14">
        <v>216.06</v>
      </c>
      <c r="L14">
        <v>128.63999999999999</v>
      </c>
      <c r="M14">
        <v>87.42</v>
      </c>
      <c r="N14" t="s">
        <v>26</v>
      </c>
    </row>
    <row r="15" spans="1:14" x14ac:dyDescent="0.3">
      <c r="A15" t="s">
        <v>58</v>
      </c>
      <c r="B15" s="1">
        <v>45988</v>
      </c>
      <c r="C15" t="s">
        <v>59</v>
      </c>
      <c r="D15" t="s">
        <v>23</v>
      </c>
      <c r="E15" t="s">
        <v>44</v>
      </c>
      <c r="F15" t="s">
        <v>32</v>
      </c>
      <c r="G15" t="s">
        <v>46</v>
      </c>
      <c r="H15">
        <v>2</v>
      </c>
      <c r="I15">
        <v>29.48</v>
      </c>
      <c r="J15" s="13">
        <v>0</v>
      </c>
      <c r="K15">
        <v>58.95</v>
      </c>
      <c r="L15">
        <v>39.1</v>
      </c>
      <c r="M15">
        <v>19.850000000000001</v>
      </c>
      <c r="N15" t="s">
        <v>60</v>
      </c>
    </row>
    <row r="16" spans="1:14" x14ac:dyDescent="0.3">
      <c r="A16" t="s">
        <v>61</v>
      </c>
      <c r="B16" s="1">
        <v>45916</v>
      </c>
      <c r="C16" t="s">
        <v>48</v>
      </c>
      <c r="D16" t="s">
        <v>16</v>
      </c>
      <c r="E16" t="s">
        <v>24</v>
      </c>
      <c r="F16" t="s">
        <v>18</v>
      </c>
      <c r="G16" t="s">
        <v>25</v>
      </c>
      <c r="H16">
        <v>3</v>
      </c>
      <c r="I16">
        <v>324.5</v>
      </c>
      <c r="J16" s="13">
        <v>0</v>
      </c>
      <c r="K16">
        <v>973.51</v>
      </c>
      <c r="L16">
        <v>633.28</v>
      </c>
      <c r="M16">
        <v>340.23</v>
      </c>
      <c r="N16" t="s">
        <v>38</v>
      </c>
    </row>
    <row r="17" spans="1:14" x14ac:dyDescent="0.3">
      <c r="A17" t="s">
        <v>62</v>
      </c>
      <c r="B17" s="1">
        <v>45753</v>
      </c>
      <c r="C17" t="s">
        <v>30</v>
      </c>
      <c r="D17" t="s">
        <v>23</v>
      </c>
      <c r="E17" t="s">
        <v>17</v>
      </c>
      <c r="F17" t="s">
        <v>18</v>
      </c>
      <c r="G17" t="s">
        <v>50</v>
      </c>
      <c r="H17">
        <v>2</v>
      </c>
      <c r="I17">
        <v>50.82</v>
      </c>
      <c r="J17" s="13">
        <v>0.1</v>
      </c>
      <c r="K17">
        <v>91.47</v>
      </c>
      <c r="L17">
        <v>65.52</v>
      </c>
      <c r="M17">
        <v>25.95</v>
      </c>
      <c r="N17" t="s">
        <v>63</v>
      </c>
    </row>
    <row r="18" spans="1:14" x14ac:dyDescent="0.3">
      <c r="A18" t="s">
        <v>64</v>
      </c>
      <c r="B18" s="1">
        <v>45738</v>
      </c>
      <c r="C18" t="s">
        <v>30</v>
      </c>
      <c r="D18" t="s">
        <v>16</v>
      </c>
      <c r="E18" t="s">
        <v>17</v>
      </c>
      <c r="F18" t="s">
        <v>18</v>
      </c>
      <c r="G18" t="s">
        <v>25</v>
      </c>
      <c r="H18">
        <v>4</v>
      </c>
      <c r="I18">
        <v>52.22</v>
      </c>
      <c r="J18" s="13">
        <v>0.05</v>
      </c>
      <c r="K18">
        <v>198.42</v>
      </c>
      <c r="L18">
        <v>127.33</v>
      </c>
      <c r="M18">
        <v>71.09</v>
      </c>
      <c r="N18" t="s">
        <v>53</v>
      </c>
    </row>
    <row r="19" spans="1:14" x14ac:dyDescent="0.3">
      <c r="A19" t="s">
        <v>65</v>
      </c>
      <c r="B19" s="1">
        <v>45875</v>
      </c>
      <c r="C19" t="s">
        <v>28</v>
      </c>
      <c r="D19" t="s">
        <v>23</v>
      </c>
      <c r="E19" t="s">
        <v>17</v>
      </c>
      <c r="F19" t="s">
        <v>45</v>
      </c>
      <c r="G19" t="s">
        <v>46</v>
      </c>
      <c r="H19">
        <v>3</v>
      </c>
      <c r="I19">
        <v>920.56</v>
      </c>
      <c r="J19" s="13">
        <v>0.05</v>
      </c>
      <c r="K19">
        <v>2623.61</v>
      </c>
      <c r="L19">
        <v>1895.04</v>
      </c>
      <c r="M19">
        <v>728.57</v>
      </c>
      <c r="N19" t="s">
        <v>20</v>
      </c>
    </row>
    <row r="20" spans="1:14" x14ac:dyDescent="0.3">
      <c r="A20" t="s">
        <v>66</v>
      </c>
      <c r="B20" s="1">
        <v>45855</v>
      </c>
      <c r="C20" t="s">
        <v>67</v>
      </c>
      <c r="D20" t="s">
        <v>41</v>
      </c>
      <c r="E20" t="s">
        <v>17</v>
      </c>
      <c r="F20" t="s">
        <v>18</v>
      </c>
      <c r="G20" t="s">
        <v>50</v>
      </c>
      <c r="H20">
        <v>4</v>
      </c>
      <c r="I20">
        <v>180.03</v>
      </c>
      <c r="J20" s="13">
        <v>0.03</v>
      </c>
      <c r="K20">
        <v>698.52</v>
      </c>
      <c r="L20">
        <v>508.74</v>
      </c>
      <c r="M20">
        <v>189.78</v>
      </c>
      <c r="N20" t="s">
        <v>26</v>
      </c>
    </row>
    <row r="21" spans="1:14" x14ac:dyDescent="0.3">
      <c r="A21" t="s">
        <v>68</v>
      </c>
      <c r="B21" s="1">
        <v>46003</v>
      </c>
      <c r="C21" t="s">
        <v>69</v>
      </c>
      <c r="D21" t="s">
        <v>16</v>
      </c>
      <c r="E21" t="s">
        <v>44</v>
      </c>
      <c r="F21" t="s">
        <v>18</v>
      </c>
      <c r="G21" t="s">
        <v>46</v>
      </c>
      <c r="H21">
        <v>4</v>
      </c>
      <c r="I21">
        <v>280.45999999999998</v>
      </c>
      <c r="J21" s="13">
        <v>0.1</v>
      </c>
      <c r="K21">
        <v>1009.65</v>
      </c>
      <c r="L21">
        <v>723.8</v>
      </c>
      <c r="M21">
        <v>285.85000000000002</v>
      </c>
      <c r="N21" t="s">
        <v>70</v>
      </c>
    </row>
    <row r="22" spans="1:14" x14ac:dyDescent="0.3">
      <c r="A22" t="s">
        <v>71</v>
      </c>
      <c r="B22" s="1">
        <v>45808</v>
      </c>
      <c r="C22" t="s">
        <v>69</v>
      </c>
      <c r="D22" t="s">
        <v>16</v>
      </c>
      <c r="E22" t="s">
        <v>44</v>
      </c>
      <c r="F22" t="s">
        <v>18</v>
      </c>
      <c r="G22" t="s">
        <v>33</v>
      </c>
      <c r="H22">
        <v>2</v>
      </c>
      <c r="I22">
        <v>290.69</v>
      </c>
      <c r="J22" s="13">
        <v>0.1</v>
      </c>
      <c r="K22">
        <v>523.25</v>
      </c>
      <c r="L22">
        <v>353.19</v>
      </c>
      <c r="M22">
        <v>170.06</v>
      </c>
      <c r="N22" t="s">
        <v>72</v>
      </c>
    </row>
    <row r="23" spans="1:14" x14ac:dyDescent="0.3">
      <c r="A23" t="s">
        <v>73</v>
      </c>
      <c r="B23" s="1">
        <v>45911</v>
      </c>
      <c r="C23" t="s">
        <v>69</v>
      </c>
      <c r="D23" t="s">
        <v>23</v>
      </c>
      <c r="E23" t="s">
        <v>17</v>
      </c>
      <c r="F23" t="s">
        <v>32</v>
      </c>
      <c r="G23" t="s">
        <v>46</v>
      </c>
      <c r="H23">
        <v>3</v>
      </c>
      <c r="I23">
        <v>307</v>
      </c>
      <c r="J23" s="13">
        <v>0.03</v>
      </c>
      <c r="K23">
        <v>893.37</v>
      </c>
      <c r="L23">
        <v>717.69</v>
      </c>
      <c r="M23">
        <v>175.68</v>
      </c>
      <c r="N23" t="s">
        <v>38</v>
      </c>
    </row>
    <row r="24" spans="1:14" x14ac:dyDescent="0.3">
      <c r="A24" t="s">
        <v>74</v>
      </c>
      <c r="B24" s="1">
        <v>45777</v>
      </c>
      <c r="C24" t="s">
        <v>59</v>
      </c>
      <c r="D24" t="s">
        <v>31</v>
      </c>
      <c r="E24" t="s">
        <v>17</v>
      </c>
      <c r="F24" t="s">
        <v>18</v>
      </c>
      <c r="G24" t="s">
        <v>19</v>
      </c>
      <c r="H24">
        <v>4</v>
      </c>
      <c r="I24">
        <v>31.03</v>
      </c>
      <c r="J24" s="13">
        <v>0.1</v>
      </c>
      <c r="K24">
        <v>111.73</v>
      </c>
      <c r="L24">
        <v>94.03</v>
      </c>
      <c r="M24">
        <v>17.7</v>
      </c>
      <c r="N24" t="s">
        <v>63</v>
      </c>
    </row>
    <row r="25" spans="1:14" x14ac:dyDescent="0.3">
      <c r="A25" t="s">
        <v>75</v>
      </c>
      <c r="B25" s="1">
        <v>45810</v>
      </c>
      <c r="C25" t="s">
        <v>67</v>
      </c>
      <c r="D25" t="s">
        <v>31</v>
      </c>
      <c r="E25" t="s">
        <v>24</v>
      </c>
      <c r="F25" t="s">
        <v>18</v>
      </c>
      <c r="G25" t="s">
        <v>37</v>
      </c>
      <c r="H25">
        <v>3</v>
      </c>
      <c r="I25">
        <v>196.42</v>
      </c>
      <c r="J25" s="13">
        <v>0.03</v>
      </c>
      <c r="K25">
        <v>571.59</v>
      </c>
      <c r="L25">
        <v>452.57</v>
      </c>
      <c r="M25">
        <v>119.02</v>
      </c>
      <c r="N25" t="s">
        <v>76</v>
      </c>
    </row>
    <row r="26" spans="1:14" x14ac:dyDescent="0.3">
      <c r="A26" t="s">
        <v>77</v>
      </c>
      <c r="B26" s="1">
        <v>45934</v>
      </c>
      <c r="C26" t="s">
        <v>22</v>
      </c>
      <c r="D26" t="s">
        <v>23</v>
      </c>
      <c r="E26" t="s">
        <v>17</v>
      </c>
      <c r="F26" t="s">
        <v>45</v>
      </c>
      <c r="G26" t="s">
        <v>46</v>
      </c>
      <c r="H26">
        <v>1</v>
      </c>
      <c r="I26">
        <v>87.58</v>
      </c>
      <c r="J26" s="13">
        <v>0.05</v>
      </c>
      <c r="K26">
        <v>83.2</v>
      </c>
      <c r="L26">
        <v>54.95</v>
      </c>
      <c r="M26">
        <v>28.25</v>
      </c>
      <c r="N26" t="s">
        <v>51</v>
      </c>
    </row>
    <row r="27" spans="1:14" x14ac:dyDescent="0.3">
      <c r="A27" t="s">
        <v>78</v>
      </c>
      <c r="B27" s="1">
        <v>45679</v>
      </c>
      <c r="C27" t="s">
        <v>22</v>
      </c>
      <c r="D27" t="s">
        <v>41</v>
      </c>
      <c r="E27" t="s">
        <v>17</v>
      </c>
      <c r="F27" t="s">
        <v>32</v>
      </c>
      <c r="G27" t="s">
        <v>79</v>
      </c>
      <c r="H27">
        <v>3</v>
      </c>
      <c r="I27">
        <v>81.739999999999995</v>
      </c>
      <c r="J27" s="13">
        <v>0.05</v>
      </c>
      <c r="K27">
        <v>232.95</v>
      </c>
      <c r="L27">
        <v>173.43</v>
      </c>
      <c r="M27">
        <v>59.52</v>
      </c>
      <c r="N27" t="s">
        <v>34</v>
      </c>
    </row>
    <row r="28" spans="1:14" x14ac:dyDescent="0.3">
      <c r="A28" t="s">
        <v>80</v>
      </c>
      <c r="B28" s="1">
        <v>45974</v>
      </c>
      <c r="C28" t="s">
        <v>48</v>
      </c>
      <c r="D28" t="s">
        <v>23</v>
      </c>
      <c r="E28" t="s">
        <v>24</v>
      </c>
      <c r="F28" t="s">
        <v>18</v>
      </c>
      <c r="G28" t="s">
        <v>50</v>
      </c>
      <c r="H28">
        <v>5</v>
      </c>
      <c r="I28">
        <v>348.92</v>
      </c>
      <c r="J28" s="13">
        <v>0.05</v>
      </c>
      <c r="K28">
        <v>1657.36</v>
      </c>
      <c r="L28">
        <v>1213.1500000000001</v>
      </c>
      <c r="M28">
        <v>444.21</v>
      </c>
      <c r="N28" t="s">
        <v>60</v>
      </c>
    </row>
    <row r="29" spans="1:14" x14ac:dyDescent="0.3">
      <c r="A29" t="s">
        <v>81</v>
      </c>
      <c r="B29" s="1">
        <v>45890</v>
      </c>
      <c r="C29" t="s">
        <v>28</v>
      </c>
      <c r="D29" t="s">
        <v>31</v>
      </c>
      <c r="E29" t="s">
        <v>44</v>
      </c>
      <c r="F29" t="s">
        <v>18</v>
      </c>
      <c r="G29" t="s">
        <v>56</v>
      </c>
      <c r="H29">
        <v>2</v>
      </c>
      <c r="I29">
        <v>1043.96</v>
      </c>
      <c r="J29" s="13">
        <v>0.03</v>
      </c>
      <c r="K29">
        <v>2025.29</v>
      </c>
      <c r="L29">
        <v>1579.93</v>
      </c>
      <c r="M29">
        <v>445.36</v>
      </c>
      <c r="N29" t="s">
        <v>20</v>
      </c>
    </row>
    <row r="30" spans="1:14" x14ac:dyDescent="0.3">
      <c r="A30" t="s">
        <v>82</v>
      </c>
      <c r="B30" s="1">
        <v>45818</v>
      </c>
      <c r="C30" t="s">
        <v>36</v>
      </c>
      <c r="D30" t="s">
        <v>23</v>
      </c>
      <c r="E30" t="s">
        <v>17</v>
      </c>
      <c r="F30" t="s">
        <v>18</v>
      </c>
      <c r="G30" t="s">
        <v>37</v>
      </c>
      <c r="H30">
        <v>1</v>
      </c>
      <c r="I30">
        <v>158.93</v>
      </c>
      <c r="J30" s="13">
        <v>0.03</v>
      </c>
      <c r="K30">
        <v>154.16</v>
      </c>
      <c r="L30">
        <v>98.25</v>
      </c>
      <c r="M30">
        <v>55.91</v>
      </c>
      <c r="N30" t="s">
        <v>76</v>
      </c>
    </row>
    <row r="31" spans="1:14" x14ac:dyDescent="0.3">
      <c r="A31" t="s">
        <v>83</v>
      </c>
      <c r="B31" s="1">
        <v>45999</v>
      </c>
      <c r="C31" t="s">
        <v>43</v>
      </c>
      <c r="D31" t="s">
        <v>16</v>
      </c>
      <c r="E31" t="s">
        <v>24</v>
      </c>
      <c r="F31" t="s">
        <v>18</v>
      </c>
      <c r="G31" t="s">
        <v>37</v>
      </c>
      <c r="H31">
        <v>3</v>
      </c>
      <c r="I31">
        <v>644.30999999999995</v>
      </c>
      <c r="J31" s="13">
        <v>0</v>
      </c>
      <c r="K31">
        <v>1932.92</v>
      </c>
      <c r="L31">
        <v>1358.85</v>
      </c>
      <c r="M31">
        <v>574.07000000000005</v>
      </c>
      <c r="N31" t="s">
        <v>70</v>
      </c>
    </row>
    <row r="32" spans="1:14" x14ac:dyDescent="0.3">
      <c r="A32" t="s">
        <v>84</v>
      </c>
      <c r="B32" s="1">
        <v>45827</v>
      </c>
      <c r="C32" t="s">
        <v>59</v>
      </c>
      <c r="D32" t="s">
        <v>16</v>
      </c>
      <c r="E32" t="s">
        <v>24</v>
      </c>
      <c r="F32" t="s">
        <v>18</v>
      </c>
      <c r="G32" t="s">
        <v>19</v>
      </c>
      <c r="H32">
        <v>1</v>
      </c>
      <c r="I32">
        <v>34.229999999999997</v>
      </c>
      <c r="J32" s="13">
        <v>0.05</v>
      </c>
      <c r="K32">
        <v>32.520000000000003</v>
      </c>
      <c r="L32">
        <v>23.64</v>
      </c>
      <c r="M32">
        <v>8.8800000000000008</v>
      </c>
      <c r="N32" t="s">
        <v>76</v>
      </c>
    </row>
    <row r="33" spans="1:14" x14ac:dyDescent="0.3">
      <c r="A33" t="s">
        <v>85</v>
      </c>
      <c r="B33" s="1">
        <v>45799</v>
      </c>
      <c r="C33" t="s">
        <v>43</v>
      </c>
      <c r="D33" t="s">
        <v>23</v>
      </c>
      <c r="E33" t="s">
        <v>44</v>
      </c>
      <c r="F33" t="s">
        <v>18</v>
      </c>
      <c r="G33" t="s">
        <v>37</v>
      </c>
      <c r="H33">
        <v>3</v>
      </c>
      <c r="I33">
        <v>621.41</v>
      </c>
      <c r="J33" s="13">
        <v>0.1</v>
      </c>
      <c r="K33">
        <v>1677.8</v>
      </c>
      <c r="L33">
        <v>1323.58</v>
      </c>
      <c r="M33">
        <v>354.22</v>
      </c>
      <c r="N33" t="s">
        <v>72</v>
      </c>
    </row>
    <row r="34" spans="1:14" x14ac:dyDescent="0.3">
      <c r="A34" t="s">
        <v>86</v>
      </c>
      <c r="B34" s="1">
        <v>45782</v>
      </c>
      <c r="C34" t="s">
        <v>28</v>
      </c>
      <c r="D34" t="s">
        <v>41</v>
      </c>
      <c r="E34" t="s">
        <v>17</v>
      </c>
      <c r="F34" t="s">
        <v>18</v>
      </c>
      <c r="G34" t="s">
        <v>33</v>
      </c>
      <c r="H34">
        <v>1</v>
      </c>
      <c r="I34">
        <v>964.87</v>
      </c>
      <c r="J34" s="13">
        <v>0.05</v>
      </c>
      <c r="K34">
        <v>916.63</v>
      </c>
      <c r="L34">
        <v>664.34</v>
      </c>
      <c r="M34">
        <v>252.29</v>
      </c>
      <c r="N34" t="s">
        <v>72</v>
      </c>
    </row>
    <row r="35" spans="1:14" x14ac:dyDescent="0.3">
      <c r="A35" t="s">
        <v>87</v>
      </c>
      <c r="B35" s="1">
        <v>45717</v>
      </c>
      <c r="C35" t="s">
        <v>28</v>
      </c>
      <c r="D35" t="s">
        <v>23</v>
      </c>
      <c r="E35" t="s">
        <v>44</v>
      </c>
      <c r="F35" t="s">
        <v>18</v>
      </c>
      <c r="G35" t="s">
        <v>25</v>
      </c>
      <c r="H35">
        <v>3</v>
      </c>
      <c r="I35">
        <v>912.62</v>
      </c>
      <c r="J35" s="13">
        <v>0.03</v>
      </c>
      <c r="K35">
        <v>2655.73</v>
      </c>
      <c r="L35">
        <v>2041.28</v>
      </c>
      <c r="M35">
        <v>614.45000000000005</v>
      </c>
      <c r="N35" t="s">
        <v>53</v>
      </c>
    </row>
    <row r="36" spans="1:14" x14ac:dyDescent="0.3">
      <c r="A36" t="s">
        <v>88</v>
      </c>
      <c r="B36" s="1">
        <v>45926</v>
      </c>
      <c r="C36" t="s">
        <v>28</v>
      </c>
      <c r="D36" t="s">
        <v>41</v>
      </c>
      <c r="E36" t="s">
        <v>17</v>
      </c>
      <c r="F36" t="s">
        <v>18</v>
      </c>
      <c r="G36" t="s">
        <v>50</v>
      </c>
      <c r="H36">
        <v>3</v>
      </c>
      <c r="I36">
        <v>955.96</v>
      </c>
      <c r="J36" s="13">
        <v>0.05</v>
      </c>
      <c r="K36">
        <v>2724.48</v>
      </c>
      <c r="L36">
        <v>2079.83</v>
      </c>
      <c r="M36">
        <v>644.65</v>
      </c>
      <c r="N36" t="s">
        <v>38</v>
      </c>
    </row>
    <row r="37" spans="1:14" x14ac:dyDescent="0.3">
      <c r="A37" t="s">
        <v>89</v>
      </c>
      <c r="B37" s="1">
        <v>45975</v>
      </c>
      <c r="C37" t="s">
        <v>15</v>
      </c>
      <c r="D37" t="s">
        <v>16</v>
      </c>
      <c r="E37" t="s">
        <v>24</v>
      </c>
      <c r="F37" t="s">
        <v>45</v>
      </c>
      <c r="G37" t="s">
        <v>50</v>
      </c>
      <c r="H37">
        <v>4</v>
      </c>
      <c r="I37">
        <v>74</v>
      </c>
      <c r="J37" s="13">
        <v>0.03</v>
      </c>
      <c r="K37">
        <v>287.13</v>
      </c>
      <c r="L37">
        <v>182.6</v>
      </c>
      <c r="M37">
        <v>104.53</v>
      </c>
      <c r="N37" t="s">
        <v>60</v>
      </c>
    </row>
    <row r="38" spans="1:14" x14ac:dyDescent="0.3">
      <c r="A38" t="s">
        <v>90</v>
      </c>
      <c r="B38" s="1">
        <v>45894</v>
      </c>
      <c r="C38" t="s">
        <v>69</v>
      </c>
      <c r="D38" t="s">
        <v>31</v>
      </c>
      <c r="E38" t="s">
        <v>17</v>
      </c>
      <c r="F38" t="s">
        <v>18</v>
      </c>
      <c r="G38" t="s">
        <v>19</v>
      </c>
      <c r="H38">
        <v>2</v>
      </c>
      <c r="I38">
        <v>260.76</v>
      </c>
      <c r="J38" s="13">
        <v>0.05</v>
      </c>
      <c r="K38">
        <v>495.44</v>
      </c>
      <c r="L38">
        <v>377.02</v>
      </c>
      <c r="M38">
        <v>118.42</v>
      </c>
      <c r="N38" t="s">
        <v>20</v>
      </c>
    </row>
    <row r="39" spans="1:14" x14ac:dyDescent="0.3">
      <c r="A39" t="s">
        <v>91</v>
      </c>
      <c r="B39" s="1">
        <v>45743</v>
      </c>
      <c r="C39" t="s">
        <v>36</v>
      </c>
      <c r="D39" t="s">
        <v>31</v>
      </c>
      <c r="E39" t="s">
        <v>24</v>
      </c>
      <c r="F39" t="s">
        <v>18</v>
      </c>
      <c r="G39" t="s">
        <v>46</v>
      </c>
      <c r="H39">
        <v>2</v>
      </c>
      <c r="I39">
        <v>148.24</v>
      </c>
      <c r="J39" s="13">
        <v>0</v>
      </c>
      <c r="K39">
        <v>296.48</v>
      </c>
      <c r="L39">
        <v>193.07</v>
      </c>
      <c r="M39">
        <v>103.41</v>
      </c>
      <c r="N39" t="s">
        <v>53</v>
      </c>
    </row>
    <row r="40" spans="1:14" x14ac:dyDescent="0.3">
      <c r="A40" t="s">
        <v>92</v>
      </c>
      <c r="B40" s="1">
        <v>45998</v>
      </c>
      <c r="C40" t="s">
        <v>28</v>
      </c>
      <c r="D40" t="s">
        <v>16</v>
      </c>
      <c r="E40" t="s">
        <v>24</v>
      </c>
      <c r="F40" t="s">
        <v>18</v>
      </c>
      <c r="G40" t="s">
        <v>56</v>
      </c>
      <c r="H40">
        <v>4</v>
      </c>
      <c r="I40">
        <v>1017.54</v>
      </c>
      <c r="J40" s="13">
        <v>0.05</v>
      </c>
      <c r="K40">
        <v>3866.64</v>
      </c>
      <c r="L40">
        <v>2440.33</v>
      </c>
      <c r="M40">
        <v>1426.31</v>
      </c>
      <c r="N40" t="s">
        <v>70</v>
      </c>
    </row>
    <row r="41" spans="1:14" x14ac:dyDescent="0.3">
      <c r="A41" t="s">
        <v>93</v>
      </c>
      <c r="B41" s="1">
        <v>45907</v>
      </c>
      <c r="C41" t="s">
        <v>15</v>
      </c>
      <c r="D41" t="s">
        <v>16</v>
      </c>
      <c r="E41" t="s">
        <v>17</v>
      </c>
      <c r="F41" t="s">
        <v>32</v>
      </c>
      <c r="G41" t="s">
        <v>56</v>
      </c>
      <c r="H41">
        <v>3</v>
      </c>
      <c r="I41">
        <v>76.739999999999995</v>
      </c>
      <c r="J41" s="13">
        <v>0</v>
      </c>
      <c r="K41">
        <v>230.21</v>
      </c>
      <c r="L41">
        <v>150.77000000000001</v>
      </c>
      <c r="M41">
        <v>79.44</v>
      </c>
      <c r="N41" t="s">
        <v>38</v>
      </c>
    </row>
    <row r="42" spans="1:14" x14ac:dyDescent="0.3">
      <c r="A42" t="s">
        <v>94</v>
      </c>
      <c r="B42" s="1">
        <v>45817</v>
      </c>
      <c r="C42" t="s">
        <v>22</v>
      </c>
      <c r="D42" t="s">
        <v>16</v>
      </c>
      <c r="E42" t="s">
        <v>44</v>
      </c>
      <c r="F42" t="s">
        <v>45</v>
      </c>
      <c r="G42" t="s">
        <v>79</v>
      </c>
      <c r="H42">
        <v>7</v>
      </c>
      <c r="I42">
        <v>86.97</v>
      </c>
      <c r="J42" s="13">
        <v>0.1</v>
      </c>
      <c r="K42">
        <v>547.91</v>
      </c>
      <c r="L42">
        <v>458.68</v>
      </c>
      <c r="M42">
        <v>89.23</v>
      </c>
      <c r="N42" t="s">
        <v>76</v>
      </c>
    </row>
    <row r="43" spans="1:14" x14ac:dyDescent="0.3">
      <c r="A43" t="s">
        <v>95</v>
      </c>
      <c r="B43" s="1">
        <v>45825</v>
      </c>
      <c r="C43" t="s">
        <v>40</v>
      </c>
      <c r="D43" t="s">
        <v>41</v>
      </c>
      <c r="E43" t="s">
        <v>24</v>
      </c>
      <c r="F43" t="s">
        <v>18</v>
      </c>
      <c r="G43" t="s">
        <v>33</v>
      </c>
      <c r="H43">
        <v>3</v>
      </c>
      <c r="I43">
        <v>109.08</v>
      </c>
      <c r="J43" s="13">
        <v>0.1</v>
      </c>
      <c r="K43">
        <v>294.52</v>
      </c>
      <c r="L43">
        <v>215.07</v>
      </c>
      <c r="M43">
        <v>79.45</v>
      </c>
      <c r="N43" t="s">
        <v>76</v>
      </c>
    </row>
    <row r="44" spans="1:14" x14ac:dyDescent="0.3">
      <c r="A44" t="s">
        <v>96</v>
      </c>
      <c r="B44" s="1">
        <v>45921</v>
      </c>
      <c r="C44" t="s">
        <v>28</v>
      </c>
      <c r="D44" t="s">
        <v>31</v>
      </c>
      <c r="E44" t="s">
        <v>44</v>
      </c>
      <c r="F44" t="s">
        <v>18</v>
      </c>
      <c r="G44" t="s">
        <v>37</v>
      </c>
      <c r="H44">
        <v>1</v>
      </c>
      <c r="I44">
        <v>858.46</v>
      </c>
      <c r="J44" s="13">
        <v>0.05</v>
      </c>
      <c r="K44">
        <v>815.54</v>
      </c>
      <c r="L44">
        <v>510.13</v>
      </c>
      <c r="M44">
        <v>305.41000000000003</v>
      </c>
      <c r="N44" t="s">
        <v>38</v>
      </c>
    </row>
    <row r="45" spans="1:14" x14ac:dyDescent="0.3">
      <c r="A45" t="s">
        <v>97</v>
      </c>
      <c r="B45" s="1">
        <v>45874</v>
      </c>
      <c r="C45" t="s">
        <v>30</v>
      </c>
      <c r="D45" t="s">
        <v>31</v>
      </c>
      <c r="E45" t="s">
        <v>44</v>
      </c>
      <c r="F45" t="s">
        <v>18</v>
      </c>
      <c r="G45" t="s">
        <v>56</v>
      </c>
      <c r="H45">
        <v>4</v>
      </c>
      <c r="I45">
        <v>54.96</v>
      </c>
      <c r="J45" s="13">
        <v>0.03</v>
      </c>
      <c r="K45">
        <v>213.23</v>
      </c>
      <c r="L45">
        <v>168.68</v>
      </c>
      <c r="M45">
        <v>44.55</v>
      </c>
      <c r="N45" t="s">
        <v>20</v>
      </c>
    </row>
    <row r="46" spans="1:14" x14ac:dyDescent="0.3">
      <c r="A46" t="s">
        <v>98</v>
      </c>
      <c r="B46" s="1">
        <v>45753</v>
      </c>
      <c r="C46" t="s">
        <v>22</v>
      </c>
      <c r="D46" t="s">
        <v>23</v>
      </c>
      <c r="E46" t="s">
        <v>44</v>
      </c>
      <c r="F46" t="s">
        <v>45</v>
      </c>
      <c r="G46" t="s">
        <v>33</v>
      </c>
      <c r="H46">
        <v>8</v>
      </c>
      <c r="I46">
        <v>90.22</v>
      </c>
      <c r="J46" s="13">
        <v>0.03</v>
      </c>
      <c r="K46">
        <v>700.08</v>
      </c>
      <c r="L46">
        <v>472.3</v>
      </c>
      <c r="M46">
        <v>227.78</v>
      </c>
      <c r="N46" t="s">
        <v>63</v>
      </c>
    </row>
    <row r="47" spans="1:14" x14ac:dyDescent="0.3">
      <c r="A47" t="s">
        <v>99</v>
      </c>
      <c r="B47" s="1">
        <v>45719</v>
      </c>
      <c r="C47" t="s">
        <v>15</v>
      </c>
      <c r="D47" t="s">
        <v>23</v>
      </c>
      <c r="E47" t="s">
        <v>44</v>
      </c>
      <c r="F47" t="s">
        <v>18</v>
      </c>
      <c r="G47" t="s">
        <v>79</v>
      </c>
      <c r="H47">
        <v>4</v>
      </c>
      <c r="I47">
        <v>78.760000000000005</v>
      </c>
      <c r="J47" s="13">
        <v>0</v>
      </c>
      <c r="K47">
        <v>315.05</v>
      </c>
      <c r="L47">
        <v>239.6</v>
      </c>
      <c r="M47">
        <v>75.45</v>
      </c>
      <c r="N47" t="s">
        <v>53</v>
      </c>
    </row>
    <row r="48" spans="1:14" x14ac:dyDescent="0.3">
      <c r="A48" t="s">
        <v>100</v>
      </c>
      <c r="B48" s="1">
        <v>45941</v>
      </c>
      <c r="C48" t="s">
        <v>28</v>
      </c>
      <c r="D48" t="s">
        <v>41</v>
      </c>
      <c r="E48" t="s">
        <v>17</v>
      </c>
      <c r="F48" t="s">
        <v>18</v>
      </c>
      <c r="G48" t="s">
        <v>37</v>
      </c>
      <c r="H48">
        <v>7</v>
      </c>
      <c r="I48">
        <v>865.16</v>
      </c>
      <c r="J48" s="13">
        <v>0.1</v>
      </c>
      <c r="K48">
        <v>5450.52</v>
      </c>
      <c r="L48">
        <v>3942.43</v>
      </c>
      <c r="M48">
        <v>1508.09</v>
      </c>
      <c r="N48" t="s">
        <v>51</v>
      </c>
    </row>
    <row r="49" spans="1:14" x14ac:dyDescent="0.3">
      <c r="A49" t="s">
        <v>101</v>
      </c>
      <c r="B49" s="1">
        <v>45710</v>
      </c>
      <c r="C49" t="s">
        <v>40</v>
      </c>
      <c r="D49" t="s">
        <v>16</v>
      </c>
      <c r="E49" t="s">
        <v>17</v>
      </c>
      <c r="F49" t="s">
        <v>18</v>
      </c>
      <c r="G49" t="s">
        <v>56</v>
      </c>
      <c r="H49">
        <v>2</v>
      </c>
      <c r="I49">
        <v>108.87</v>
      </c>
      <c r="J49" s="13">
        <v>0.03</v>
      </c>
      <c r="K49">
        <v>211.2</v>
      </c>
      <c r="L49">
        <v>155.57</v>
      </c>
      <c r="M49">
        <v>55.63</v>
      </c>
      <c r="N49" t="s">
        <v>102</v>
      </c>
    </row>
    <row r="50" spans="1:14" x14ac:dyDescent="0.3">
      <c r="A50" t="s">
        <v>103</v>
      </c>
      <c r="B50" s="1">
        <v>45892</v>
      </c>
      <c r="C50" t="s">
        <v>104</v>
      </c>
      <c r="D50" t="s">
        <v>16</v>
      </c>
      <c r="E50" t="s">
        <v>24</v>
      </c>
      <c r="F50" t="s">
        <v>18</v>
      </c>
      <c r="G50" t="s">
        <v>37</v>
      </c>
      <c r="H50">
        <v>3</v>
      </c>
      <c r="I50">
        <v>86.59</v>
      </c>
      <c r="J50" s="13">
        <v>0.03</v>
      </c>
      <c r="K50">
        <v>251.99</v>
      </c>
      <c r="L50">
        <v>196.79</v>
      </c>
      <c r="M50">
        <v>55.2</v>
      </c>
      <c r="N50" t="s">
        <v>20</v>
      </c>
    </row>
    <row r="51" spans="1:14" x14ac:dyDescent="0.3">
      <c r="A51" t="s">
        <v>105</v>
      </c>
      <c r="B51" s="1">
        <v>45940</v>
      </c>
      <c r="C51" t="s">
        <v>48</v>
      </c>
      <c r="D51" t="s">
        <v>41</v>
      </c>
      <c r="E51" t="s">
        <v>24</v>
      </c>
      <c r="F51" t="s">
        <v>18</v>
      </c>
      <c r="G51" t="s">
        <v>25</v>
      </c>
      <c r="H51">
        <v>5</v>
      </c>
      <c r="I51">
        <v>364.95</v>
      </c>
      <c r="J51" s="13">
        <v>0.03</v>
      </c>
      <c r="K51">
        <v>1769.99</v>
      </c>
      <c r="L51">
        <v>1139.58</v>
      </c>
      <c r="M51">
        <v>630.41</v>
      </c>
      <c r="N51" t="s">
        <v>51</v>
      </c>
    </row>
    <row r="52" spans="1:14" x14ac:dyDescent="0.3">
      <c r="A52" t="s">
        <v>106</v>
      </c>
      <c r="B52" s="1">
        <v>45874</v>
      </c>
      <c r="C52" t="s">
        <v>43</v>
      </c>
      <c r="D52" t="s">
        <v>31</v>
      </c>
      <c r="E52" t="s">
        <v>17</v>
      </c>
      <c r="F52" t="s">
        <v>18</v>
      </c>
      <c r="G52" t="s">
        <v>46</v>
      </c>
      <c r="H52">
        <v>2</v>
      </c>
      <c r="I52">
        <v>604.41</v>
      </c>
      <c r="J52" s="13">
        <v>0.1</v>
      </c>
      <c r="K52">
        <v>1087.94</v>
      </c>
      <c r="L52">
        <v>930.13</v>
      </c>
      <c r="M52">
        <v>157.81</v>
      </c>
      <c r="N52" t="s">
        <v>20</v>
      </c>
    </row>
    <row r="53" spans="1:14" x14ac:dyDescent="0.3">
      <c r="A53" t="s">
        <v>107</v>
      </c>
      <c r="B53" s="1">
        <v>45783</v>
      </c>
      <c r="C53" t="s">
        <v>104</v>
      </c>
      <c r="D53" t="s">
        <v>16</v>
      </c>
      <c r="E53" t="s">
        <v>24</v>
      </c>
      <c r="F53" t="s">
        <v>18</v>
      </c>
      <c r="G53" t="s">
        <v>25</v>
      </c>
      <c r="H53">
        <v>4</v>
      </c>
      <c r="I53">
        <v>92.68</v>
      </c>
      <c r="J53" s="13">
        <v>0</v>
      </c>
      <c r="K53">
        <v>370.73</v>
      </c>
      <c r="L53">
        <v>239.51</v>
      </c>
      <c r="M53">
        <v>131.22</v>
      </c>
      <c r="N53" t="s">
        <v>72</v>
      </c>
    </row>
    <row r="54" spans="1:14" x14ac:dyDescent="0.3">
      <c r="A54" t="s">
        <v>108</v>
      </c>
      <c r="B54" s="1">
        <v>46005</v>
      </c>
      <c r="C54" t="s">
        <v>28</v>
      </c>
      <c r="D54" t="s">
        <v>41</v>
      </c>
      <c r="E54" t="s">
        <v>24</v>
      </c>
      <c r="F54" t="s">
        <v>18</v>
      </c>
      <c r="G54" t="s">
        <v>50</v>
      </c>
      <c r="H54">
        <v>1</v>
      </c>
      <c r="I54">
        <v>877.58</v>
      </c>
      <c r="J54" s="13">
        <v>0.05</v>
      </c>
      <c r="K54">
        <v>833.7</v>
      </c>
      <c r="L54">
        <v>639.94000000000005</v>
      </c>
      <c r="M54">
        <v>193.76</v>
      </c>
      <c r="N54" t="s">
        <v>70</v>
      </c>
    </row>
    <row r="55" spans="1:14" x14ac:dyDescent="0.3">
      <c r="A55" t="s">
        <v>109</v>
      </c>
      <c r="B55" s="1">
        <v>45974</v>
      </c>
      <c r="C55" t="s">
        <v>48</v>
      </c>
      <c r="D55" t="s">
        <v>16</v>
      </c>
      <c r="E55" t="s">
        <v>44</v>
      </c>
      <c r="F55" t="s">
        <v>18</v>
      </c>
      <c r="G55" t="s">
        <v>79</v>
      </c>
      <c r="H55">
        <v>7</v>
      </c>
      <c r="I55">
        <v>321.2</v>
      </c>
      <c r="J55" s="13">
        <v>0</v>
      </c>
      <c r="K55">
        <v>2248.4299999999998</v>
      </c>
      <c r="L55">
        <v>1740.23</v>
      </c>
      <c r="M55">
        <v>508.2</v>
      </c>
      <c r="N55" t="s">
        <v>60</v>
      </c>
    </row>
    <row r="56" spans="1:14" x14ac:dyDescent="0.3">
      <c r="A56" t="s">
        <v>110</v>
      </c>
      <c r="B56" s="1">
        <v>45962</v>
      </c>
      <c r="C56" t="s">
        <v>43</v>
      </c>
      <c r="D56" t="s">
        <v>41</v>
      </c>
      <c r="E56" t="s">
        <v>24</v>
      </c>
      <c r="F56" t="s">
        <v>32</v>
      </c>
      <c r="G56" t="s">
        <v>25</v>
      </c>
      <c r="H56">
        <v>4</v>
      </c>
      <c r="I56">
        <v>589.37</v>
      </c>
      <c r="J56" s="13">
        <v>0</v>
      </c>
      <c r="K56">
        <v>2357.48</v>
      </c>
      <c r="L56">
        <v>1445.71</v>
      </c>
      <c r="M56">
        <v>911.77</v>
      </c>
      <c r="N56" t="s">
        <v>60</v>
      </c>
    </row>
    <row r="57" spans="1:14" x14ac:dyDescent="0.3">
      <c r="A57" t="s">
        <v>111</v>
      </c>
      <c r="B57" s="1">
        <v>46015</v>
      </c>
      <c r="C57" t="s">
        <v>36</v>
      </c>
      <c r="D57" t="s">
        <v>23</v>
      </c>
      <c r="E57" t="s">
        <v>24</v>
      </c>
      <c r="F57" t="s">
        <v>18</v>
      </c>
      <c r="G57" t="s">
        <v>37</v>
      </c>
      <c r="H57">
        <v>1</v>
      </c>
      <c r="I57">
        <v>156.63</v>
      </c>
      <c r="J57" s="13">
        <v>0.03</v>
      </c>
      <c r="K57">
        <v>151.93</v>
      </c>
      <c r="L57">
        <v>120.62</v>
      </c>
      <c r="M57">
        <v>31.31</v>
      </c>
      <c r="N57" t="s">
        <v>70</v>
      </c>
    </row>
    <row r="58" spans="1:14" x14ac:dyDescent="0.3">
      <c r="A58" t="s">
        <v>112</v>
      </c>
      <c r="B58" s="1">
        <v>45698</v>
      </c>
      <c r="C58" t="s">
        <v>30</v>
      </c>
      <c r="D58" t="s">
        <v>23</v>
      </c>
      <c r="E58" t="s">
        <v>44</v>
      </c>
      <c r="F58" t="s">
        <v>45</v>
      </c>
      <c r="G58" t="s">
        <v>50</v>
      </c>
      <c r="H58">
        <v>2</v>
      </c>
      <c r="I58">
        <v>54.6</v>
      </c>
      <c r="J58" s="13">
        <v>0.05</v>
      </c>
      <c r="K58">
        <v>103.74</v>
      </c>
      <c r="L58">
        <v>65.03</v>
      </c>
      <c r="M58">
        <v>38.71</v>
      </c>
      <c r="N58" t="s">
        <v>102</v>
      </c>
    </row>
    <row r="59" spans="1:14" x14ac:dyDescent="0.3">
      <c r="A59" t="s">
        <v>113</v>
      </c>
      <c r="B59" s="1">
        <v>45692</v>
      </c>
      <c r="C59" t="s">
        <v>59</v>
      </c>
      <c r="D59" t="s">
        <v>31</v>
      </c>
      <c r="E59" t="s">
        <v>44</v>
      </c>
      <c r="F59" t="s">
        <v>18</v>
      </c>
      <c r="G59" t="s">
        <v>56</v>
      </c>
      <c r="H59">
        <v>3</v>
      </c>
      <c r="I59">
        <v>31.43</v>
      </c>
      <c r="J59" s="13">
        <v>0.03</v>
      </c>
      <c r="K59">
        <v>91.47</v>
      </c>
      <c r="L59">
        <v>57.2</v>
      </c>
      <c r="M59">
        <v>34.270000000000003</v>
      </c>
      <c r="N59" t="s">
        <v>102</v>
      </c>
    </row>
    <row r="60" spans="1:14" x14ac:dyDescent="0.3">
      <c r="A60" t="s">
        <v>114</v>
      </c>
      <c r="B60" s="1">
        <v>45776</v>
      </c>
      <c r="C60" t="s">
        <v>40</v>
      </c>
      <c r="D60" t="s">
        <v>23</v>
      </c>
      <c r="E60" t="s">
        <v>24</v>
      </c>
      <c r="F60" t="s">
        <v>45</v>
      </c>
      <c r="G60" t="s">
        <v>19</v>
      </c>
      <c r="H60">
        <v>6</v>
      </c>
      <c r="I60">
        <v>108.2</v>
      </c>
      <c r="J60" s="13">
        <v>0.1</v>
      </c>
      <c r="K60">
        <v>584.29</v>
      </c>
      <c r="L60">
        <v>382.41</v>
      </c>
      <c r="M60">
        <v>201.88</v>
      </c>
      <c r="N60" t="s">
        <v>63</v>
      </c>
    </row>
    <row r="61" spans="1:14" x14ac:dyDescent="0.3">
      <c r="A61" t="s">
        <v>115</v>
      </c>
      <c r="B61" s="1">
        <v>45834</v>
      </c>
      <c r="C61" t="s">
        <v>43</v>
      </c>
      <c r="D61" t="s">
        <v>31</v>
      </c>
      <c r="E61" t="s">
        <v>24</v>
      </c>
      <c r="F61" t="s">
        <v>18</v>
      </c>
      <c r="G61" t="s">
        <v>46</v>
      </c>
      <c r="H61">
        <v>4</v>
      </c>
      <c r="I61">
        <v>604.72</v>
      </c>
      <c r="J61" s="13">
        <v>0.03</v>
      </c>
      <c r="K61">
        <v>2346.3000000000002</v>
      </c>
      <c r="L61">
        <v>1804.07</v>
      </c>
      <c r="M61">
        <v>542.23</v>
      </c>
      <c r="N61" t="s">
        <v>76</v>
      </c>
    </row>
    <row r="62" spans="1:14" x14ac:dyDescent="0.3">
      <c r="A62" t="s">
        <v>116</v>
      </c>
      <c r="B62" s="1">
        <v>46015</v>
      </c>
      <c r="C62" t="s">
        <v>59</v>
      </c>
      <c r="D62" t="s">
        <v>16</v>
      </c>
      <c r="E62" t="s">
        <v>17</v>
      </c>
      <c r="F62" t="s">
        <v>45</v>
      </c>
      <c r="G62" t="s">
        <v>56</v>
      </c>
      <c r="H62">
        <v>5</v>
      </c>
      <c r="I62">
        <v>29.16</v>
      </c>
      <c r="J62" s="13">
        <v>0.1</v>
      </c>
      <c r="K62">
        <v>131.22</v>
      </c>
      <c r="L62">
        <v>113.72</v>
      </c>
      <c r="M62">
        <v>17.5</v>
      </c>
      <c r="N62" t="s">
        <v>70</v>
      </c>
    </row>
    <row r="63" spans="1:14" x14ac:dyDescent="0.3">
      <c r="A63" t="s">
        <v>117</v>
      </c>
      <c r="B63" s="1">
        <v>45830</v>
      </c>
      <c r="C63" t="s">
        <v>67</v>
      </c>
      <c r="D63" t="s">
        <v>31</v>
      </c>
      <c r="E63" t="s">
        <v>24</v>
      </c>
      <c r="F63" t="s">
        <v>32</v>
      </c>
      <c r="G63" t="s">
        <v>19</v>
      </c>
      <c r="H63">
        <v>1</v>
      </c>
      <c r="I63">
        <v>185.36</v>
      </c>
      <c r="J63" s="13">
        <v>0</v>
      </c>
      <c r="K63">
        <v>185.36</v>
      </c>
      <c r="L63">
        <v>116.83</v>
      </c>
      <c r="M63">
        <v>68.53</v>
      </c>
      <c r="N63" t="s">
        <v>76</v>
      </c>
    </row>
    <row r="64" spans="1:14" x14ac:dyDescent="0.3">
      <c r="A64" t="s">
        <v>118</v>
      </c>
      <c r="B64" s="1">
        <v>45775</v>
      </c>
      <c r="C64" t="s">
        <v>40</v>
      </c>
      <c r="D64" t="s">
        <v>16</v>
      </c>
      <c r="E64" t="s">
        <v>17</v>
      </c>
      <c r="F64" t="s">
        <v>32</v>
      </c>
      <c r="G64" t="s">
        <v>25</v>
      </c>
      <c r="H64">
        <v>1</v>
      </c>
      <c r="I64">
        <v>106.88</v>
      </c>
      <c r="J64" s="13">
        <v>0.05</v>
      </c>
      <c r="K64">
        <v>101.54</v>
      </c>
      <c r="L64">
        <v>73.11</v>
      </c>
      <c r="M64">
        <v>28.43</v>
      </c>
      <c r="N64" t="s">
        <v>63</v>
      </c>
    </row>
    <row r="65" spans="1:14" x14ac:dyDescent="0.3">
      <c r="A65" t="s">
        <v>119</v>
      </c>
      <c r="B65" s="1">
        <v>45864</v>
      </c>
      <c r="C65" t="s">
        <v>43</v>
      </c>
      <c r="D65" t="s">
        <v>31</v>
      </c>
      <c r="E65" t="s">
        <v>17</v>
      </c>
      <c r="F65" t="s">
        <v>45</v>
      </c>
      <c r="G65" t="s">
        <v>79</v>
      </c>
      <c r="H65">
        <v>5</v>
      </c>
      <c r="I65">
        <v>568.96</v>
      </c>
      <c r="J65" s="13">
        <v>0.05</v>
      </c>
      <c r="K65">
        <v>2702.57</v>
      </c>
      <c r="L65">
        <v>1923.12</v>
      </c>
      <c r="M65">
        <v>779.45</v>
      </c>
      <c r="N65" t="s">
        <v>26</v>
      </c>
    </row>
    <row r="66" spans="1:14" x14ac:dyDescent="0.3">
      <c r="A66" t="s">
        <v>120</v>
      </c>
      <c r="B66" s="1">
        <v>45992</v>
      </c>
      <c r="C66" t="s">
        <v>48</v>
      </c>
      <c r="D66" t="s">
        <v>16</v>
      </c>
      <c r="E66" t="s">
        <v>24</v>
      </c>
      <c r="F66" t="s">
        <v>45</v>
      </c>
      <c r="G66" t="s">
        <v>50</v>
      </c>
      <c r="H66">
        <v>8</v>
      </c>
      <c r="I66">
        <v>347.97</v>
      </c>
      <c r="J66" s="13">
        <v>0.05</v>
      </c>
      <c r="K66">
        <v>2644.6</v>
      </c>
      <c r="L66">
        <v>1969.06</v>
      </c>
      <c r="M66">
        <v>675.54</v>
      </c>
      <c r="N66" t="s">
        <v>70</v>
      </c>
    </row>
    <row r="67" spans="1:14" x14ac:dyDescent="0.3">
      <c r="A67" t="s">
        <v>121</v>
      </c>
      <c r="B67" s="1">
        <v>45790</v>
      </c>
      <c r="C67" t="s">
        <v>104</v>
      </c>
      <c r="D67" t="s">
        <v>31</v>
      </c>
      <c r="E67" t="s">
        <v>24</v>
      </c>
      <c r="F67" t="s">
        <v>32</v>
      </c>
      <c r="G67" t="s">
        <v>37</v>
      </c>
      <c r="H67">
        <v>2</v>
      </c>
      <c r="I67">
        <v>100.39</v>
      </c>
      <c r="J67" s="13">
        <v>0.05</v>
      </c>
      <c r="K67">
        <v>190.74</v>
      </c>
      <c r="L67">
        <v>151.08000000000001</v>
      </c>
      <c r="M67">
        <v>39.659999999999997</v>
      </c>
      <c r="N67" t="s">
        <v>72</v>
      </c>
    </row>
    <row r="68" spans="1:14" x14ac:dyDescent="0.3">
      <c r="A68" t="s">
        <v>122</v>
      </c>
      <c r="B68" s="1">
        <v>45783</v>
      </c>
      <c r="C68" t="s">
        <v>67</v>
      </c>
      <c r="D68" t="s">
        <v>16</v>
      </c>
      <c r="E68" t="s">
        <v>17</v>
      </c>
      <c r="F68" t="s">
        <v>18</v>
      </c>
      <c r="G68" t="s">
        <v>46</v>
      </c>
      <c r="H68">
        <v>1</v>
      </c>
      <c r="I68">
        <v>173.52</v>
      </c>
      <c r="J68" s="13">
        <v>0.05</v>
      </c>
      <c r="K68">
        <v>164.84</v>
      </c>
      <c r="L68">
        <v>112.7</v>
      </c>
      <c r="M68">
        <v>52.14</v>
      </c>
      <c r="N68" t="s">
        <v>72</v>
      </c>
    </row>
    <row r="69" spans="1:14" x14ac:dyDescent="0.3">
      <c r="A69" t="s">
        <v>123</v>
      </c>
      <c r="B69" s="1">
        <v>46017</v>
      </c>
      <c r="C69" t="s">
        <v>69</v>
      </c>
      <c r="D69" t="s">
        <v>23</v>
      </c>
      <c r="E69" t="s">
        <v>24</v>
      </c>
      <c r="F69" t="s">
        <v>32</v>
      </c>
      <c r="G69" t="s">
        <v>79</v>
      </c>
      <c r="H69">
        <v>1</v>
      </c>
      <c r="I69">
        <v>259.17</v>
      </c>
      <c r="J69" s="13">
        <v>0</v>
      </c>
      <c r="K69">
        <v>259.17</v>
      </c>
      <c r="L69">
        <v>183.54</v>
      </c>
      <c r="M69">
        <v>75.63</v>
      </c>
      <c r="N69" t="s">
        <v>70</v>
      </c>
    </row>
    <row r="70" spans="1:14" x14ac:dyDescent="0.3">
      <c r="A70" t="s">
        <v>124</v>
      </c>
      <c r="B70" s="1">
        <v>45749</v>
      </c>
      <c r="C70" t="s">
        <v>104</v>
      </c>
      <c r="D70" t="s">
        <v>41</v>
      </c>
      <c r="E70" t="s">
        <v>24</v>
      </c>
      <c r="F70" t="s">
        <v>18</v>
      </c>
      <c r="G70" t="s">
        <v>50</v>
      </c>
      <c r="H70">
        <v>3</v>
      </c>
      <c r="I70">
        <v>103.99</v>
      </c>
      <c r="J70" s="13">
        <v>0</v>
      </c>
      <c r="K70">
        <v>311.97000000000003</v>
      </c>
      <c r="L70">
        <v>232.22</v>
      </c>
      <c r="M70">
        <v>79.75</v>
      </c>
      <c r="N70" t="s">
        <v>63</v>
      </c>
    </row>
    <row r="71" spans="1:14" x14ac:dyDescent="0.3">
      <c r="A71" t="s">
        <v>125</v>
      </c>
      <c r="B71" s="1">
        <v>45730</v>
      </c>
      <c r="C71" t="s">
        <v>36</v>
      </c>
      <c r="D71" t="s">
        <v>41</v>
      </c>
      <c r="E71" t="s">
        <v>17</v>
      </c>
      <c r="F71" t="s">
        <v>45</v>
      </c>
      <c r="G71" t="s">
        <v>46</v>
      </c>
      <c r="H71">
        <v>6</v>
      </c>
      <c r="I71">
        <v>140.82</v>
      </c>
      <c r="J71" s="13">
        <v>0</v>
      </c>
      <c r="K71">
        <v>844.94</v>
      </c>
      <c r="L71">
        <v>545.85</v>
      </c>
      <c r="M71">
        <v>299.08999999999997</v>
      </c>
      <c r="N71" t="s">
        <v>53</v>
      </c>
    </row>
    <row r="72" spans="1:14" x14ac:dyDescent="0.3">
      <c r="A72" t="s">
        <v>126</v>
      </c>
      <c r="B72" s="1">
        <v>45665</v>
      </c>
      <c r="C72" t="s">
        <v>104</v>
      </c>
      <c r="D72" t="s">
        <v>31</v>
      </c>
      <c r="E72" t="s">
        <v>17</v>
      </c>
      <c r="F72" t="s">
        <v>32</v>
      </c>
      <c r="G72" t="s">
        <v>46</v>
      </c>
      <c r="H72">
        <v>2</v>
      </c>
      <c r="I72">
        <v>88.48</v>
      </c>
      <c r="J72" s="13">
        <v>0</v>
      </c>
      <c r="K72">
        <v>176.97</v>
      </c>
      <c r="L72">
        <v>133.37</v>
      </c>
      <c r="M72">
        <v>43.6</v>
      </c>
      <c r="N72" t="s">
        <v>34</v>
      </c>
    </row>
    <row r="73" spans="1:14" x14ac:dyDescent="0.3">
      <c r="A73" t="s">
        <v>127</v>
      </c>
      <c r="B73" s="1">
        <v>46022</v>
      </c>
      <c r="C73" t="s">
        <v>15</v>
      </c>
      <c r="D73" t="s">
        <v>41</v>
      </c>
      <c r="E73" t="s">
        <v>24</v>
      </c>
      <c r="F73" t="s">
        <v>18</v>
      </c>
      <c r="G73" t="s">
        <v>46</v>
      </c>
      <c r="H73">
        <v>3</v>
      </c>
      <c r="I73">
        <v>74.77</v>
      </c>
      <c r="J73" s="13">
        <v>0.03</v>
      </c>
      <c r="K73">
        <v>217.57</v>
      </c>
      <c r="L73">
        <v>150.85</v>
      </c>
      <c r="M73">
        <v>66.72</v>
      </c>
      <c r="N73" t="s">
        <v>70</v>
      </c>
    </row>
    <row r="74" spans="1:14" x14ac:dyDescent="0.3">
      <c r="A74" t="s">
        <v>128</v>
      </c>
      <c r="B74" s="1">
        <v>45951</v>
      </c>
      <c r="C74" t="s">
        <v>22</v>
      </c>
      <c r="D74" t="s">
        <v>16</v>
      </c>
      <c r="E74" t="s">
        <v>24</v>
      </c>
      <c r="F74" t="s">
        <v>18</v>
      </c>
      <c r="G74" t="s">
        <v>46</v>
      </c>
      <c r="H74">
        <v>4</v>
      </c>
      <c r="I74">
        <v>90.86</v>
      </c>
      <c r="J74" s="13">
        <v>0</v>
      </c>
      <c r="K74">
        <v>363.42</v>
      </c>
      <c r="L74">
        <v>273.82</v>
      </c>
      <c r="M74">
        <v>89.6</v>
      </c>
      <c r="N74" t="s">
        <v>51</v>
      </c>
    </row>
    <row r="75" spans="1:14" x14ac:dyDescent="0.3">
      <c r="A75" t="s">
        <v>129</v>
      </c>
      <c r="B75" s="1">
        <v>45957</v>
      </c>
      <c r="C75" t="s">
        <v>15</v>
      </c>
      <c r="D75" t="s">
        <v>31</v>
      </c>
      <c r="E75" t="s">
        <v>44</v>
      </c>
      <c r="F75" t="s">
        <v>45</v>
      </c>
      <c r="G75" t="s">
        <v>33</v>
      </c>
      <c r="H75">
        <v>2</v>
      </c>
      <c r="I75">
        <v>67.8</v>
      </c>
      <c r="J75" s="13">
        <v>0</v>
      </c>
      <c r="K75">
        <v>135.6</v>
      </c>
      <c r="L75">
        <v>87.53</v>
      </c>
      <c r="M75">
        <v>48.07</v>
      </c>
      <c r="N75" t="s">
        <v>51</v>
      </c>
    </row>
    <row r="76" spans="1:14" x14ac:dyDescent="0.3">
      <c r="A76" t="s">
        <v>130</v>
      </c>
      <c r="B76" s="1">
        <v>45768</v>
      </c>
      <c r="C76" t="s">
        <v>59</v>
      </c>
      <c r="D76" t="s">
        <v>23</v>
      </c>
      <c r="E76" t="s">
        <v>17</v>
      </c>
      <c r="F76" t="s">
        <v>45</v>
      </c>
      <c r="G76" t="s">
        <v>37</v>
      </c>
      <c r="H76">
        <v>3</v>
      </c>
      <c r="I76">
        <v>32.950000000000003</v>
      </c>
      <c r="J76" s="13">
        <v>0.05</v>
      </c>
      <c r="K76">
        <v>93.91</v>
      </c>
      <c r="L76">
        <v>71.91</v>
      </c>
      <c r="M76">
        <v>22</v>
      </c>
      <c r="N76" t="s">
        <v>63</v>
      </c>
    </row>
    <row r="77" spans="1:14" x14ac:dyDescent="0.3">
      <c r="A77" t="s">
        <v>131</v>
      </c>
      <c r="B77" s="1">
        <v>46022</v>
      </c>
      <c r="C77" t="s">
        <v>59</v>
      </c>
      <c r="D77" t="s">
        <v>41</v>
      </c>
      <c r="E77" t="s">
        <v>17</v>
      </c>
      <c r="F77" t="s">
        <v>18</v>
      </c>
      <c r="G77" t="s">
        <v>25</v>
      </c>
      <c r="H77">
        <v>3</v>
      </c>
      <c r="I77">
        <v>31.12</v>
      </c>
      <c r="J77" s="13">
        <v>0.05</v>
      </c>
      <c r="K77">
        <v>88.7</v>
      </c>
      <c r="L77">
        <v>60.81</v>
      </c>
      <c r="M77">
        <v>27.89</v>
      </c>
      <c r="N77" t="s">
        <v>70</v>
      </c>
    </row>
    <row r="78" spans="1:14" x14ac:dyDescent="0.3">
      <c r="A78" t="s">
        <v>132</v>
      </c>
      <c r="B78" s="1">
        <v>46007</v>
      </c>
      <c r="C78" t="s">
        <v>30</v>
      </c>
      <c r="D78" t="s">
        <v>16</v>
      </c>
      <c r="E78" t="s">
        <v>24</v>
      </c>
      <c r="F78" t="s">
        <v>45</v>
      </c>
      <c r="G78" t="s">
        <v>79</v>
      </c>
      <c r="H78">
        <v>3</v>
      </c>
      <c r="I78">
        <v>53.52</v>
      </c>
      <c r="J78" s="13">
        <v>0.1</v>
      </c>
      <c r="K78">
        <v>144.5</v>
      </c>
      <c r="L78">
        <v>95.95</v>
      </c>
      <c r="M78">
        <v>48.55</v>
      </c>
      <c r="N78" t="s">
        <v>70</v>
      </c>
    </row>
    <row r="79" spans="1:14" x14ac:dyDescent="0.3">
      <c r="A79" t="s">
        <v>133</v>
      </c>
      <c r="B79" s="1">
        <v>45877</v>
      </c>
      <c r="C79" t="s">
        <v>36</v>
      </c>
      <c r="D79" t="s">
        <v>16</v>
      </c>
      <c r="E79" t="s">
        <v>44</v>
      </c>
      <c r="F79" t="s">
        <v>45</v>
      </c>
      <c r="G79" t="s">
        <v>50</v>
      </c>
      <c r="H79">
        <v>8</v>
      </c>
      <c r="I79">
        <v>142.4</v>
      </c>
      <c r="J79" s="13">
        <v>0</v>
      </c>
      <c r="K79">
        <v>1139.21</v>
      </c>
      <c r="L79">
        <v>751.39</v>
      </c>
      <c r="M79">
        <v>387.82</v>
      </c>
      <c r="N79" t="s">
        <v>20</v>
      </c>
    </row>
    <row r="80" spans="1:14" x14ac:dyDescent="0.3">
      <c r="A80" t="s">
        <v>134</v>
      </c>
      <c r="B80" s="1">
        <v>45683</v>
      </c>
      <c r="C80" t="s">
        <v>104</v>
      </c>
      <c r="D80" t="s">
        <v>16</v>
      </c>
      <c r="E80" t="s">
        <v>44</v>
      </c>
      <c r="F80" t="s">
        <v>18</v>
      </c>
      <c r="G80" t="s">
        <v>37</v>
      </c>
      <c r="H80">
        <v>5</v>
      </c>
      <c r="I80">
        <v>99.24</v>
      </c>
      <c r="J80" s="13">
        <v>0.05</v>
      </c>
      <c r="K80">
        <v>471.37</v>
      </c>
      <c r="L80">
        <v>340.88</v>
      </c>
      <c r="M80">
        <v>130.49</v>
      </c>
      <c r="N80" t="s">
        <v>34</v>
      </c>
    </row>
    <row r="81" spans="1:14" x14ac:dyDescent="0.3">
      <c r="A81" t="s">
        <v>135</v>
      </c>
      <c r="B81" s="1">
        <v>45747</v>
      </c>
      <c r="C81" t="s">
        <v>59</v>
      </c>
      <c r="D81" t="s">
        <v>41</v>
      </c>
      <c r="E81" t="s">
        <v>24</v>
      </c>
      <c r="F81" t="s">
        <v>45</v>
      </c>
      <c r="G81" t="s">
        <v>79</v>
      </c>
      <c r="H81">
        <v>3</v>
      </c>
      <c r="I81">
        <v>31.52</v>
      </c>
      <c r="J81" s="13">
        <v>0</v>
      </c>
      <c r="K81">
        <v>94.57</v>
      </c>
      <c r="L81">
        <v>57.02</v>
      </c>
      <c r="M81">
        <v>37.549999999999997</v>
      </c>
      <c r="N81" t="s">
        <v>53</v>
      </c>
    </row>
    <row r="82" spans="1:14" x14ac:dyDescent="0.3">
      <c r="A82" t="s">
        <v>136</v>
      </c>
      <c r="B82" s="1">
        <v>45918</v>
      </c>
      <c r="C82" t="s">
        <v>43</v>
      </c>
      <c r="D82" t="s">
        <v>16</v>
      </c>
      <c r="E82" t="s">
        <v>17</v>
      </c>
      <c r="F82" t="s">
        <v>18</v>
      </c>
      <c r="G82" t="s">
        <v>19</v>
      </c>
      <c r="H82">
        <v>3</v>
      </c>
      <c r="I82">
        <v>597.76</v>
      </c>
      <c r="J82" s="13">
        <v>0.03</v>
      </c>
      <c r="K82">
        <v>1739.48</v>
      </c>
      <c r="L82">
        <v>1203.03</v>
      </c>
      <c r="M82">
        <v>536.45000000000005</v>
      </c>
      <c r="N82" t="s">
        <v>38</v>
      </c>
    </row>
    <row r="83" spans="1:14" x14ac:dyDescent="0.3">
      <c r="A83" t="s">
        <v>137</v>
      </c>
      <c r="B83" s="1">
        <v>45695</v>
      </c>
      <c r="C83" t="s">
        <v>67</v>
      </c>
      <c r="D83" t="s">
        <v>16</v>
      </c>
      <c r="E83" t="s">
        <v>17</v>
      </c>
      <c r="F83" t="s">
        <v>18</v>
      </c>
      <c r="G83" t="s">
        <v>56</v>
      </c>
      <c r="H83">
        <v>4</v>
      </c>
      <c r="I83">
        <v>180.68</v>
      </c>
      <c r="J83" s="13">
        <v>0.1</v>
      </c>
      <c r="K83">
        <v>650.42999999999995</v>
      </c>
      <c r="L83">
        <v>505.26</v>
      </c>
      <c r="M83">
        <v>145.16999999999999</v>
      </c>
      <c r="N83" t="s">
        <v>102</v>
      </c>
    </row>
    <row r="84" spans="1:14" x14ac:dyDescent="0.3">
      <c r="A84" t="s">
        <v>138</v>
      </c>
      <c r="B84" s="1">
        <v>45733</v>
      </c>
      <c r="C84" t="s">
        <v>48</v>
      </c>
      <c r="D84" t="s">
        <v>16</v>
      </c>
      <c r="E84" t="s">
        <v>24</v>
      </c>
      <c r="F84" t="s">
        <v>45</v>
      </c>
      <c r="G84" t="s">
        <v>25</v>
      </c>
      <c r="H84">
        <v>1</v>
      </c>
      <c r="I84">
        <v>371.62</v>
      </c>
      <c r="J84" s="13">
        <v>0.05</v>
      </c>
      <c r="K84">
        <v>353.04</v>
      </c>
      <c r="L84">
        <v>285.27999999999997</v>
      </c>
      <c r="M84">
        <v>67.760000000000005</v>
      </c>
      <c r="N84" t="s">
        <v>53</v>
      </c>
    </row>
    <row r="85" spans="1:14" x14ac:dyDescent="0.3">
      <c r="A85" t="s">
        <v>139</v>
      </c>
      <c r="B85" s="1">
        <v>45948</v>
      </c>
      <c r="C85" t="s">
        <v>28</v>
      </c>
      <c r="D85" t="s">
        <v>31</v>
      </c>
      <c r="E85" t="s">
        <v>24</v>
      </c>
      <c r="F85" t="s">
        <v>18</v>
      </c>
      <c r="G85" t="s">
        <v>25</v>
      </c>
      <c r="H85">
        <v>5</v>
      </c>
      <c r="I85">
        <v>1003.49</v>
      </c>
      <c r="J85" s="13">
        <v>0.1</v>
      </c>
      <c r="K85">
        <v>4515.6899999999996</v>
      </c>
      <c r="L85">
        <v>3712.44</v>
      </c>
      <c r="M85">
        <v>803.25</v>
      </c>
      <c r="N85" t="s">
        <v>51</v>
      </c>
    </row>
    <row r="86" spans="1:14" x14ac:dyDescent="0.3">
      <c r="A86" t="s">
        <v>140</v>
      </c>
      <c r="B86" s="1">
        <v>45952</v>
      </c>
      <c r="C86" t="s">
        <v>36</v>
      </c>
      <c r="D86" t="s">
        <v>23</v>
      </c>
      <c r="E86" t="s">
        <v>24</v>
      </c>
      <c r="F86" t="s">
        <v>18</v>
      </c>
      <c r="G86" t="s">
        <v>25</v>
      </c>
      <c r="H86">
        <v>5</v>
      </c>
      <c r="I86">
        <v>140.91</v>
      </c>
      <c r="J86" s="13">
        <v>0.03</v>
      </c>
      <c r="K86">
        <v>683.39</v>
      </c>
      <c r="L86">
        <v>523.69000000000005</v>
      </c>
      <c r="M86">
        <v>159.69999999999999</v>
      </c>
      <c r="N86" t="s">
        <v>51</v>
      </c>
    </row>
    <row r="87" spans="1:14" x14ac:dyDescent="0.3">
      <c r="A87" t="s">
        <v>141</v>
      </c>
      <c r="B87" s="1">
        <v>45966</v>
      </c>
      <c r="C87" t="s">
        <v>36</v>
      </c>
      <c r="D87" t="s">
        <v>23</v>
      </c>
      <c r="E87" t="s">
        <v>24</v>
      </c>
      <c r="F87" t="s">
        <v>18</v>
      </c>
      <c r="G87" t="s">
        <v>25</v>
      </c>
      <c r="H87">
        <v>3</v>
      </c>
      <c r="I87">
        <v>143.22</v>
      </c>
      <c r="J87" s="13">
        <v>0.03</v>
      </c>
      <c r="K87">
        <v>416.78</v>
      </c>
      <c r="L87">
        <v>282.85000000000002</v>
      </c>
      <c r="M87">
        <v>133.93</v>
      </c>
      <c r="N87" t="s">
        <v>60</v>
      </c>
    </row>
    <row r="88" spans="1:14" x14ac:dyDescent="0.3">
      <c r="A88" t="s">
        <v>142</v>
      </c>
      <c r="B88" s="1">
        <v>45814</v>
      </c>
      <c r="C88" t="s">
        <v>43</v>
      </c>
      <c r="D88" t="s">
        <v>31</v>
      </c>
      <c r="E88" t="s">
        <v>17</v>
      </c>
      <c r="F88" t="s">
        <v>32</v>
      </c>
      <c r="G88" t="s">
        <v>33</v>
      </c>
      <c r="H88">
        <v>2</v>
      </c>
      <c r="I88">
        <v>635.84</v>
      </c>
      <c r="J88" s="13">
        <v>0</v>
      </c>
      <c r="K88">
        <v>1271.67</v>
      </c>
      <c r="L88">
        <v>939.52</v>
      </c>
      <c r="M88">
        <v>332.15</v>
      </c>
      <c r="N88" t="s">
        <v>76</v>
      </c>
    </row>
    <row r="89" spans="1:14" x14ac:dyDescent="0.3">
      <c r="A89" t="s">
        <v>143</v>
      </c>
      <c r="B89" s="1">
        <v>45853</v>
      </c>
      <c r="C89" t="s">
        <v>43</v>
      </c>
      <c r="D89" t="s">
        <v>41</v>
      </c>
      <c r="E89" t="s">
        <v>17</v>
      </c>
      <c r="F89" t="s">
        <v>18</v>
      </c>
      <c r="G89" t="s">
        <v>37</v>
      </c>
      <c r="H89">
        <v>4</v>
      </c>
      <c r="I89">
        <v>651.29999999999995</v>
      </c>
      <c r="J89" s="13">
        <v>0.1</v>
      </c>
      <c r="K89">
        <v>2344.67</v>
      </c>
      <c r="L89">
        <v>1585.59</v>
      </c>
      <c r="M89">
        <v>759.08</v>
      </c>
      <c r="N89" t="s">
        <v>26</v>
      </c>
    </row>
    <row r="90" spans="1:14" x14ac:dyDescent="0.3">
      <c r="A90" t="s">
        <v>144</v>
      </c>
      <c r="B90" s="1">
        <v>45841</v>
      </c>
      <c r="C90" t="s">
        <v>59</v>
      </c>
      <c r="D90" t="s">
        <v>16</v>
      </c>
      <c r="E90" t="s">
        <v>17</v>
      </c>
      <c r="F90" t="s">
        <v>18</v>
      </c>
      <c r="G90" t="s">
        <v>46</v>
      </c>
      <c r="H90">
        <v>1</v>
      </c>
      <c r="I90">
        <v>34.06</v>
      </c>
      <c r="J90" s="13">
        <v>0.1</v>
      </c>
      <c r="K90">
        <v>30.65</v>
      </c>
      <c r="L90">
        <v>20.62</v>
      </c>
      <c r="M90">
        <v>10.029999999999999</v>
      </c>
      <c r="N90" t="s">
        <v>26</v>
      </c>
    </row>
    <row r="91" spans="1:14" x14ac:dyDescent="0.3">
      <c r="A91" t="s">
        <v>145</v>
      </c>
      <c r="B91" s="1">
        <v>45939</v>
      </c>
      <c r="C91" t="s">
        <v>15</v>
      </c>
      <c r="D91" t="s">
        <v>16</v>
      </c>
      <c r="E91" t="s">
        <v>17</v>
      </c>
      <c r="F91" t="s">
        <v>45</v>
      </c>
      <c r="G91" t="s">
        <v>25</v>
      </c>
      <c r="H91">
        <v>1</v>
      </c>
      <c r="I91">
        <v>79.08</v>
      </c>
      <c r="J91" s="13">
        <v>0.05</v>
      </c>
      <c r="K91">
        <v>75.12</v>
      </c>
      <c r="L91">
        <v>54.81</v>
      </c>
      <c r="M91">
        <v>20.309999999999999</v>
      </c>
      <c r="N91" t="s">
        <v>51</v>
      </c>
    </row>
    <row r="92" spans="1:14" x14ac:dyDescent="0.3">
      <c r="A92" t="s">
        <v>146</v>
      </c>
      <c r="B92" s="1">
        <v>45875</v>
      </c>
      <c r="C92" t="s">
        <v>43</v>
      </c>
      <c r="D92" t="s">
        <v>31</v>
      </c>
      <c r="E92" t="s">
        <v>24</v>
      </c>
      <c r="F92" t="s">
        <v>18</v>
      </c>
      <c r="G92" t="s">
        <v>50</v>
      </c>
      <c r="H92">
        <v>2</v>
      </c>
      <c r="I92">
        <v>630.34</v>
      </c>
      <c r="J92" s="13">
        <v>0.05</v>
      </c>
      <c r="K92">
        <v>1197.6500000000001</v>
      </c>
      <c r="L92">
        <v>970.04</v>
      </c>
      <c r="M92">
        <v>227.61</v>
      </c>
      <c r="N92" t="s">
        <v>20</v>
      </c>
    </row>
    <row r="93" spans="1:14" x14ac:dyDescent="0.3">
      <c r="A93" t="s">
        <v>147</v>
      </c>
      <c r="B93" s="1">
        <v>45950</v>
      </c>
      <c r="C93" t="s">
        <v>28</v>
      </c>
      <c r="D93" t="s">
        <v>23</v>
      </c>
      <c r="E93" t="s">
        <v>17</v>
      </c>
      <c r="F93" t="s">
        <v>45</v>
      </c>
      <c r="G93" t="s">
        <v>46</v>
      </c>
      <c r="H93">
        <v>6</v>
      </c>
      <c r="I93">
        <v>1020.7</v>
      </c>
      <c r="J93" s="13">
        <v>0.05</v>
      </c>
      <c r="K93">
        <v>5818.01</v>
      </c>
      <c r="L93">
        <v>4405.34</v>
      </c>
      <c r="M93">
        <v>1412.67</v>
      </c>
      <c r="N93" t="s">
        <v>51</v>
      </c>
    </row>
    <row r="94" spans="1:14" x14ac:dyDescent="0.3">
      <c r="A94" t="s">
        <v>148</v>
      </c>
      <c r="B94" s="1">
        <v>45914</v>
      </c>
      <c r="C94" t="s">
        <v>40</v>
      </c>
      <c r="D94" t="s">
        <v>41</v>
      </c>
      <c r="E94" t="s">
        <v>24</v>
      </c>
      <c r="F94" t="s">
        <v>18</v>
      </c>
      <c r="G94" t="s">
        <v>33</v>
      </c>
      <c r="H94">
        <v>4</v>
      </c>
      <c r="I94">
        <v>108.33</v>
      </c>
      <c r="J94" s="13">
        <v>0.1</v>
      </c>
      <c r="K94">
        <v>389.99</v>
      </c>
      <c r="L94">
        <v>331.54</v>
      </c>
      <c r="M94">
        <v>58.45</v>
      </c>
      <c r="N94" t="s">
        <v>38</v>
      </c>
    </row>
    <row r="95" spans="1:14" x14ac:dyDescent="0.3">
      <c r="A95" t="s">
        <v>149</v>
      </c>
      <c r="B95" s="1">
        <v>45806</v>
      </c>
      <c r="C95" t="s">
        <v>69</v>
      </c>
      <c r="D95" t="s">
        <v>16</v>
      </c>
      <c r="E95" t="s">
        <v>24</v>
      </c>
      <c r="F95" t="s">
        <v>18</v>
      </c>
      <c r="G95" t="s">
        <v>33</v>
      </c>
      <c r="H95">
        <v>0</v>
      </c>
      <c r="I95">
        <v>303.57</v>
      </c>
      <c r="J95" s="13">
        <v>0.05</v>
      </c>
      <c r="K95">
        <v>1441.94</v>
      </c>
      <c r="L95">
        <v>1059.8399999999999</v>
      </c>
      <c r="M95">
        <v>382.1</v>
      </c>
      <c r="N95" t="s">
        <v>72</v>
      </c>
    </row>
    <row r="96" spans="1:14" x14ac:dyDescent="0.3">
      <c r="A96" t="s">
        <v>150</v>
      </c>
      <c r="B96" s="1">
        <v>45951</v>
      </c>
      <c r="C96" t="s">
        <v>67</v>
      </c>
      <c r="D96" t="s">
        <v>41</v>
      </c>
      <c r="E96" t="s">
        <v>17</v>
      </c>
      <c r="F96" t="s">
        <v>18</v>
      </c>
      <c r="G96" t="s">
        <v>79</v>
      </c>
      <c r="H96">
        <v>1</v>
      </c>
      <c r="I96">
        <v>193.94</v>
      </c>
      <c r="J96" s="13">
        <v>0.03</v>
      </c>
      <c r="K96">
        <v>188.12</v>
      </c>
      <c r="L96">
        <v>145.97999999999999</v>
      </c>
      <c r="M96">
        <v>42.14</v>
      </c>
      <c r="N96" t="s">
        <v>51</v>
      </c>
    </row>
    <row r="97" spans="1:14" x14ac:dyDescent="0.3">
      <c r="A97" t="s">
        <v>151</v>
      </c>
      <c r="B97" s="1">
        <v>45837</v>
      </c>
      <c r="C97" t="s">
        <v>104</v>
      </c>
      <c r="D97" t="s">
        <v>41</v>
      </c>
      <c r="E97" t="s">
        <v>24</v>
      </c>
      <c r="F97" t="s">
        <v>18</v>
      </c>
      <c r="G97" t="s">
        <v>56</v>
      </c>
      <c r="H97">
        <v>2</v>
      </c>
      <c r="I97">
        <v>89.77</v>
      </c>
      <c r="J97" s="13">
        <v>0</v>
      </c>
      <c r="K97">
        <v>179.53</v>
      </c>
      <c r="L97">
        <v>110.46</v>
      </c>
      <c r="M97">
        <v>69.069999999999993</v>
      </c>
      <c r="N97" t="s">
        <v>76</v>
      </c>
    </row>
    <row r="98" spans="1:14" x14ac:dyDescent="0.3">
      <c r="A98" t="s">
        <v>152</v>
      </c>
      <c r="B98" s="1">
        <v>45741</v>
      </c>
      <c r="C98" t="s">
        <v>36</v>
      </c>
      <c r="D98" t="s">
        <v>31</v>
      </c>
      <c r="E98" t="s">
        <v>24</v>
      </c>
      <c r="F98" t="s">
        <v>18</v>
      </c>
      <c r="G98" t="s">
        <v>33</v>
      </c>
      <c r="H98">
        <v>1</v>
      </c>
      <c r="I98">
        <v>148.84</v>
      </c>
      <c r="J98" s="13">
        <v>0.05</v>
      </c>
      <c r="K98">
        <v>141.38999999999999</v>
      </c>
      <c r="L98">
        <v>91.62</v>
      </c>
      <c r="M98">
        <v>49.77</v>
      </c>
      <c r="N98" t="s">
        <v>53</v>
      </c>
    </row>
    <row r="99" spans="1:14" x14ac:dyDescent="0.3">
      <c r="A99" t="s">
        <v>153</v>
      </c>
      <c r="B99" s="1">
        <v>45868</v>
      </c>
      <c r="C99" t="s">
        <v>36</v>
      </c>
      <c r="D99" t="s">
        <v>41</v>
      </c>
      <c r="E99" t="s">
        <v>24</v>
      </c>
      <c r="F99" t="s">
        <v>18</v>
      </c>
      <c r="G99" t="s">
        <v>56</v>
      </c>
      <c r="H99">
        <v>2</v>
      </c>
      <c r="I99">
        <v>135.85</v>
      </c>
      <c r="J99" s="13">
        <v>0.03</v>
      </c>
      <c r="K99">
        <v>263.55</v>
      </c>
      <c r="L99">
        <v>179.18</v>
      </c>
      <c r="M99">
        <v>84.37</v>
      </c>
      <c r="N99" t="s">
        <v>26</v>
      </c>
    </row>
    <row r="100" spans="1:14" x14ac:dyDescent="0.3">
      <c r="A100" t="s">
        <v>154</v>
      </c>
      <c r="B100" s="1">
        <v>45851</v>
      </c>
      <c r="C100" t="s">
        <v>15</v>
      </c>
      <c r="D100" t="s">
        <v>41</v>
      </c>
      <c r="E100" t="s">
        <v>24</v>
      </c>
      <c r="F100" t="s">
        <v>18</v>
      </c>
      <c r="G100" t="s">
        <v>25</v>
      </c>
      <c r="H100">
        <v>3</v>
      </c>
      <c r="I100">
        <v>80.05</v>
      </c>
      <c r="J100" s="13">
        <v>0.03</v>
      </c>
      <c r="K100">
        <v>232.94</v>
      </c>
      <c r="L100">
        <v>173.58</v>
      </c>
      <c r="M100">
        <v>59.36</v>
      </c>
      <c r="N100" t="s">
        <v>26</v>
      </c>
    </row>
    <row r="101" spans="1:14" x14ac:dyDescent="0.3">
      <c r="A101" t="s">
        <v>155</v>
      </c>
      <c r="B101" s="1">
        <v>45923</v>
      </c>
      <c r="C101" t="s">
        <v>67</v>
      </c>
      <c r="D101" t="s">
        <v>41</v>
      </c>
      <c r="E101" t="s">
        <v>44</v>
      </c>
      <c r="F101" t="s">
        <v>18</v>
      </c>
      <c r="G101" t="s">
        <v>50</v>
      </c>
      <c r="H101">
        <v>2</v>
      </c>
      <c r="I101">
        <v>174.91</v>
      </c>
      <c r="J101" s="13">
        <v>0</v>
      </c>
      <c r="K101">
        <v>349.83</v>
      </c>
      <c r="L101">
        <v>255.6</v>
      </c>
      <c r="M101">
        <v>94.23</v>
      </c>
      <c r="N101" t="s">
        <v>38</v>
      </c>
    </row>
    <row r="102" spans="1:14" x14ac:dyDescent="0.3">
      <c r="A102" t="s">
        <v>156</v>
      </c>
      <c r="B102" s="1">
        <v>45904</v>
      </c>
      <c r="C102" t="s">
        <v>28</v>
      </c>
      <c r="D102" t="s">
        <v>16</v>
      </c>
      <c r="E102" t="s">
        <v>24</v>
      </c>
      <c r="F102" t="s">
        <v>45</v>
      </c>
      <c r="G102" t="s">
        <v>56</v>
      </c>
      <c r="H102">
        <v>4</v>
      </c>
      <c r="I102">
        <v>884.67</v>
      </c>
      <c r="J102" s="13">
        <v>0.05</v>
      </c>
      <c r="K102">
        <v>3361.74</v>
      </c>
      <c r="L102">
        <v>2071.61</v>
      </c>
      <c r="M102">
        <v>1290.1300000000001</v>
      </c>
      <c r="N102" t="s">
        <v>38</v>
      </c>
    </row>
    <row r="103" spans="1:14" x14ac:dyDescent="0.3">
      <c r="A103" t="s">
        <v>157</v>
      </c>
      <c r="B103" s="1">
        <v>45921</v>
      </c>
      <c r="C103" t="s">
        <v>40</v>
      </c>
      <c r="D103" t="s">
        <v>41</v>
      </c>
      <c r="E103" t="s">
        <v>44</v>
      </c>
      <c r="F103" t="s">
        <v>32</v>
      </c>
      <c r="G103" t="s">
        <v>19</v>
      </c>
      <c r="H103">
        <v>3</v>
      </c>
      <c r="I103">
        <v>106.46</v>
      </c>
      <c r="J103" s="13">
        <v>0.1</v>
      </c>
      <c r="K103">
        <v>287.45</v>
      </c>
      <c r="L103">
        <v>220.81</v>
      </c>
      <c r="M103">
        <v>66.64</v>
      </c>
      <c r="N103" t="s">
        <v>38</v>
      </c>
    </row>
    <row r="104" spans="1:14" x14ac:dyDescent="0.3">
      <c r="A104" t="s">
        <v>158</v>
      </c>
      <c r="B104" s="1">
        <v>45880</v>
      </c>
      <c r="C104" t="s">
        <v>48</v>
      </c>
      <c r="D104" t="s">
        <v>16</v>
      </c>
      <c r="E104" t="s">
        <v>44</v>
      </c>
      <c r="F104" t="s">
        <v>18</v>
      </c>
      <c r="G104" t="s">
        <v>46</v>
      </c>
      <c r="H104">
        <v>2</v>
      </c>
      <c r="I104">
        <v>362.45</v>
      </c>
      <c r="J104" s="13">
        <v>0.05</v>
      </c>
      <c r="K104">
        <v>688.66</v>
      </c>
      <c r="L104">
        <v>450.17</v>
      </c>
      <c r="M104">
        <v>238.49</v>
      </c>
      <c r="N104" t="s">
        <v>20</v>
      </c>
    </row>
    <row r="105" spans="1:14" x14ac:dyDescent="0.3">
      <c r="A105" t="s">
        <v>159</v>
      </c>
      <c r="B105" s="1">
        <v>45739</v>
      </c>
      <c r="C105" t="s">
        <v>22</v>
      </c>
      <c r="D105" t="s">
        <v>41</v>
      </c>
      <c r="E105" t="s">
        <v>44</v>
      </c>
      <c r="F105" t="s">
        <v>45</v>
      </c>
      <c r="G105" t="s">
        <v>79</v>
      </c>
      <c r="H105">
        <v>1</v>
      </c>
      <c r="I105">
        <v>90.92</v>
      </c>
      <c r="J105" s="13">
        <v>0.1</v>
      </c>
      <c r="K105">
        <v>81.83</v>
      </c>
      <c r="L105">
        <v>64.42</v>
      </c>
      <c r="M105">
        <v>17.41</v>
      </c>
      <c r="N105" t="s">
        <v>53</v>
      </c>
    </row>
    <row r="106" spans="1:14" x14ac:dyDescent="0.3">
      <c r="A106" t="s">
        <v>160</v>
      </c>
      <c r="B106" s="1">
        <v>45913</v>
      </c>
      <c r="C106" t="s">
        <v>30</v>
      </c>
      <c r="D106" t="s">
        <v>41</v>
      </c>
      <c r="E106" t="s">
        <v>24</v>
      </c>
      <c r="F106" t="s">
        <v>32</v>
      </c>
      <c r="G106" t="s">
        <v>79</v>
      </c>
      <c r="H106">
        <v>3</v>
      </c>
      <c r="I106">
        <v>53.68</v>
      </c>
      <c r="J106" s="13">
        <v>0.03</v>
      </c>
      <c r="K106">
        <v>156.19999999999999</v>
      </c>
      <c r="L106">
        <v>113.5</v>
      </c>
      <c r="M106">
        <v>42.7</v>
      </c>
      <c r="N106" t="s">
        <v>38</v>
      </c>
    </row>
    <row r="107" spans="1:14" x14ac:dyDescent="0.3">
      <c r="A107" t="s">
        <v>161</v>
      </c>
      <c r="B107" s="1">
        <v>45872</v>
      </c>
      <c r="C107" t="s">
        <v>43</v>
      </c>
      <c r="D107" t="s">
        <v>23</v>
      </c>
      <c r="E107" t="s">
        <v>24</v>
      </c>
      <c r="F107" t="s">
        <v>18</v>
      </c>
      <c r="G107" t="s">
        <v>50</v>
      </c>
      <c r="H107">
        <v>1</v>
      </c>
      <c r="I107">
        <v>652.69000000000005</v>
      </c>
      <c r="J107" s="13">
        <v>0.1</v>
      </c>
      <c r="K107">
        <v>587.41999999999996</v>
      </c>
      <c r="L107">
        <v>442.19</v>
      </c>
      <c r="M107">
        <v>145.22999999999999</v>
      </c>
      <c r="N107" t="s">
        <v>20</v>
      </c>
    </row>
    <row r="108" spans="1:14" x14ac:dyDescent="0.3">
      <c r="A108" t="s">
        <v>162</v>
      </c>
      <c r="B108" s="1">
        <v>45892</v>
      </c>
      <c r="C108" t="s">
        <v>59</v>
      </c>
      <c r="D108" t="s">
        <v>41</v>
      </c>
      <c r="E108" t="s">
        <v>44</v>
      </c>
      <c r="F108" t="s">
        <v>18</v>
      </c>
      <c r="G108" t="s">
        <v>56</v>
      </c>
      <c r="H108">
        <v>3</v>
      </c>
      <c r="I108">
        <v>32.270000000000003</v>
      </c>
      <c r="J108" s="13">
        <v>0.03</v>
      </c>
      <c r="K108">
        <v>93.9</v>
      </c>
      <c r="L108">
        <v>58.84</v>
      </c>
      <c r="M108">
        <v>35.06</v>
      </c>
      <c r="N108" t="s">
        <v>20</v>
      </c>
    </row>
    <row r="109" spans="1:14" x14ac:dyDescent="0.3">
      <c r="A109" t="s">
        <v>163</v>
      </c>
      <c r="B109" s="1">
        <v>45698</v>
      </c>
      <c r="C109" t="s">
        <v>22</v>
      </c>
      <c r="D109" t="s">
        <v>41</v>
      </c>
      <c r="E109" t="s">
        <v>24</v>
      </c>
      <c r="F109" t="s">
        <v>18</v>
      </c>
      <c r="G109" t="s">
        <v>25</v>
      </c>
      <c r="H109">
        <v>5</v>
      </c>
      <c r="I109">
        <v>88.11</v>
      </c>
      <c r="J109" s="13">
        <v>0.05</v>
      </c>
      <c r="K109">
        <v>418.54</v>
      </c>
      <c r="L109">
        <v>327.35000000000002</v>
      </c>
      <c r="M109">
        <v>91.19</v>
      </c>
      <c r="N109" t="s">
        <v>102</v>
      </c>
    </row>
    <row r="110" spans="1:14" x14ac:dyDescent="0.3">
      <c r="A110" t="s">
        <v>164</v>
      </c>
      <c r="B110" s="1">
        <v>45791</v>
      </c>
      <c r="C110" t="s">
        <v>48</v>
      </c>
      <c r="D110" t="s">
        <v>16</v>
      </c>
      <c r="E110" t="s">
        <v>17</v>
      </c>
      <c r="F110" t="s">
        <v>45</v>
      </c>
      <c r="G110" t="s">
        <v>50</v>
      </c>
      <c r="H110">
        <v>1</v>
      </c>
      <c r="I110">
        <v>320.04000000000002</v>
      </c>
      <c r="J110" s="13">
        <v>0</v>
      </c>
      <c r="K110">
        <v>320.04000000000002</v>
      </c>
      <c r="L110">
        <v>243.23</v>
      </c>
      <c r="M110">
        <v>76.81</v>
      </c>
      <c r="N110" t="s">
        <v>72</v>
      </c>
    </row>
    <row r="111" spans="1:14" x14ac:dyDescent="0.3">
      <c r="A111" t="s">
        <v>165</v>
      </c>
      <c r="B111" s="1">
        <v>45703</v>
      </c>
      <c r="C111" t="s">
        <v>104</v>
      </c>
      <c r="D111" t="s">
        <v>23</v>
      </c>
      <c r="E111" t="s">
        <v>24</v>
      </c>
      <c r="F111" t="s">
        <v>32</v>
      </c>
      <c r="G111" t="s">
        <v>50</v>
      </c>
      <c r="H111">
        <v>5</v>
      </c>
      <c r="I111">
        <v>96.39</v>
      </c>
      <c r="J111" s="13">
        <v>0.03</v>
      </c>
      <c r="K111">
        <v>467.5</v>
      </c>
      <c r="L111">
        <v>353.85</v>
      </c>
      <c r="M111">
        <v>113.65</v>
      </c>
      <c r="N111" t="s">
        <v>102</v>
      </c>
    </row>
    <row r="112" spans="1:14" x14ac:dyDescent="0.3">
      <c r="A112" t="s">
        <v>166</v>
      </c>
      <c r="B112" s="1">
        <v>45821</v>
      </c>
      <c r="C112" t="s">
        <v>28</v>
      </c>
      <c r="D112" t="s">
        <v>31</v>
      </c>
      <c r="E112" t="s">
        <v>17</v>
      </c>
      <c r="F112" t="s">
        <v>45</v>
      </c>
      <c r="G112" t="s">
        <v>25</v>
      </c>
      <c r="H112">
        <v>1</v>
      </c>
      <c r="I112">
        <v>969.6</v>
      </c>
      <c r="J112" s="13">
        <v>0.03</v>
      </c>
      <c r="K112">
        <v>940.51</v>
      </c>
      <c r="L112">
        <v>618.35</v>
      </c>
      <c r="M112">
        <v>322.16000000000003</v>
      </c>
      <c r="N112" t="s">
        <v>76</v>
      </c>
    </row>
    <row r="113" spans="1:14" x14ac:dyDescent="0.3">
      <c r="A113" t="s">
        <v>167</v>
      </c>
      <c r="B113" s="1">
        <v>45693</v>
      </c>
      <c r="C113" t="s">
        <v>104</v>
      </c>
      <c r="D113" t="s">
        <v>16</v>
      </c>
      <c r="E113" t="s">
        <v>24</v>
      </c>
      <c r="F113" t="s">
        <v>45</v>
      </c>
      <c r="G113" t="s">
        <v>79</v>
      </c>
      <c r="H113">
        <v>6</v>
      </c>
      <c r="I113">
        <v>98.11</v>
      </c>
      <c r="J113" s="13">
        <v>0.05</v>
      </c>
      <c r="K113">
        <v>559.23</v>
      </c>
      <c r="L113">
        <v>366.73</v>
      </c>
      <c r="M113">
        <v>192.5</v>
      </c>
      <c r="N113" t="s">
        <v>102</v>
      </c>
    </row>
    <row r="114" spans="1:14" x14ac:dyDescent="0.3">
      <c r="A114" t="s">
        <v>168</v>
      </c>
      <c r="B114" s="1">
        <v>45730</v>
      </c>
      <c r="C114" t="s">
        <v>48</v>
      </c>
      <c r="D114" t="s">
        <v>31</v>
      </c>
      <c r="E114" t="s">
        <v>24</v>
      </c>
      <c r="F114" t="s">
        <v>18</v>
      </c>
      <c r="G114" t="s">
        <v>56</v>
      </c>
      <c r="H114">
        <v>1</v>
      </c>
      <c r="I114">
        <v>370.96</v>
      </c>
      <c r="J114" s="13">
        <v>0.05</v>
      </c>
      <c r="K114">
        <v>352.41</v>
      </c>
      <c r="L114">
        <v>250.34</v>
      </c>
      <c r="M114">
        <v>102.07</v>
      </c>
      <c r="N114" t="s">
        <v>53</v>
      </c>
    </row>
    <row r="115" spans="1:14" x14ac:dyDescent="0.3">
      <c r="A115" t="s">
        <v>169</v>
      </c>
      <c r="B115" s="1">
        <v>45829</v>
      </c>
      <c r="C115" t="s">
        <v>22</v>
      </c>
      <c r="D115" t="s">
        <v>16</v>
      </c>
      <c r="E115" t="s">
        <v>24</v>
      </c>
      <c r="F115" t="s">
        <v>45</v>
      </c>
      <c r="G115" t="s">
        <v>79</v>
      </c>
      <c r="H115">
        <v>1</v>
      </c>
      <c r="I115">
        <v>83.89</v>
      </c>
      <c r="J115" s="13">
        <v>0.1</v>
      </c>
      <c r="K115">
        <v>75.5</v>
      </c>
      <c r="L115">
        <v>62.07</v>
      </c>
      <c r="M115">
        <v>13.43</v>
      </c>
      <c r="N115" t="s">
        <v>76</v>
      </c>
    </row>
    <row r="116" spans="1:14" x14ac:dyDescent="0.3">
      <c r="A116" t="s">
        <v>170</v>
      </c>
      <c r="B116" s="1">
        <v>45960</v>
      </c>
      <c r="C116" t="s">
        <v>59</v>
      </c>
      <c r="D116" t="s">
        <v>23</v>
      </c>
      <c r="E116" t="s">
        <v>17</v>
      </c>
      <c r="F116" t="s">
        <v>32</v>
      </c>
      <c r="G116" t="s">
        <v>19</v>
      </c>
      <c r="H116">
        <v>7</v>
      </c>
      <c r="I116">
        <v>33.97</v>
      </c>
      <c r="J116" s="13">
        <v>0.1</v>
      </c>
      <c r="K116">
        <v>214</v>
      </c>
      <c r="L116">
        <v>170.75</v>
      </c>
      <c r="M116">
        <v>43.25</v>
      </c>
      <c r="N116" t="s">
        <v>51</v>
      </c>
    </row>
    <row r="117" spans="1:14" x14ac:dyDescent="0.3">
      <c r="A117" t="s">
        <v>171</v>
      </c>
      <c r="B117" s="1">
        <v>45746</v>
      </c>
      <c r="C117" t="s">
        <v>40</v>
      </c>
      <c r="D117" t="s">
        <v>23</v>
      </c>
      <c r="E117" t="s">
        <v>24</v>
      </c>
      <c r="F117" t="s">
        <v>32</v>
      </c>
      <c r="G117" t="s">
        <v>56</v>
      </c>
      <c r="H117">
        <v>4</v>
      </c>
      <c r="I117">
        <v>115.7</v>
      </c>
      <c r="J117" s="13">
        <v>0.05</v>
      </c>
      <c r="K117">
        <v>439.66</v>
      </c>
      <c r="L117">
        <v>359.18</v>
      </c>
      <c r="M117">
        <v>80.48</v>
      </c>
      <c r="N117" t="s">
        <v>53</v>
      </c>
    </row>
    <row r="118" spans="1:14" x14ac:dyDescent="0.3">
      <c r="A118" t="s">
        <v>172</v>
      </c>
      <c r="B118" s="1">
        <v>45743</v>
      </c>
      <c r="C118" t="s">
        <v>40</v>
      </c>
      <c r="D118" t="s">
        <v>41</v>
      </c>
      <c r="E118" t="s">
        <v>24</v>
      </c>
      <c r="F118" t="s">
        <v>18</v>
      </c>
      <c r="G118" t="s">
        <v>46</v>
      </c>
      <c r="H118">
        <v>3</v>
      </c>
      <c r="I118">
        <v>99.97</v>
      </c>
      <c r="J118" s="13">
        <v>0.15</v>
      </c>
      <c r="K118">
        <v>254.93</v>
      </c>
      <c r="L118">
        <v>207.29</v>
      </c>
      <c r="M118">
        <v>47.64</v>
      </c>
      <c r="N118" t="s">
        <v>53</v>
      </c>
    </row>
    <row r="119" spans="1:14" x14ac:dyDescent="0.3">
      <c r="A119" t="s">
        <v>173</v>
      </c>
      <c r="B119" s="1">
        <v>45760</v>
      </c>
      <c r="C119" t="s">
        <v>59</v>
      </c>
      <c r="D119" t="s">
        <v>31</v>
      </c>
      <c r="E119" t="s">
        <v>17</v>
      </c>
      <c r="F119" t="s">
        <v>18</v>
      </c>
      <c r="G119" t="s">
        <v>33</v>
      </c>
      <c r="H119">
        <v>7</v>
      </c>
      <c r="I119">
        <v>34.72</v>
      </c>
      <c r="J119" s="13">
        <v>0.1</v>
      </c>
      <c r="K119">
        <v>218.71</v>
      </c>
      <c r="L119">
        <v>164</v>
      </c>
      <c r="M119">
        <v>54.71</v>
      </c>
      <c r="N119" t="s">
        <v>63</v>
      </c>
    </row>
    <row r="120" spans="1:14" x14ac:dyDescent="0.3">
      <c r="A120" t="s">
        <v>174</v>
      </c>
      <c r="B120" s="1">
        <v>46021</v>
      </c>
      <c r="C120" t="s">
        <v>69</v>
      </c>
      <c r="D120" t="s">
        <v>16</v>
      </c>
      <c r="E120" t="s">
        <v>24</v>
      </c>
      <c r="F120" t="s">
        <v>18</v>
      </c>
      <c r="G120" t="s">
        <v>56</v>
      </c>
      <c r="H120">
        <v>4</v>
      </c>
      <c r="I120">
        <v>256.31</v>
      </c>
      <c r="J120" s="13">
        <v>0.03</v>
      </c>
      <c r="K120">
        <v>994.48</v>
      </c>
      <c r="L120">
        <v>743.25</v>
      </c>
      <c r="M120">
        <v>251.23</v>
      </c>
      <c r="N120" t="s">
        <v>70</v>
      </c>
    </row>
    <row r="121" spans="1:14" x14ac:dyDescent="0.3">
      <c r="A121" t="s">
        <v>175</v>
      </c>
      <c r="B121" s="1">
        <v>45968</v>
      </c>
      <c r="C121" t="s">
        <v>40</v>
      </c>
      <c r="D121" t="s">
        <v>16</v>
      </c>
      <c r="E121" t="s">
        <v>44</v>
      </c>
      <c r="F121" t="s">
        <v>18</v>
      </c>
      <c r="G121" t="s">
        <v>46</v>
      </c>
      <c r="H121">
        <v>3</v>
      </c>
      <c r="I121">
        <v>115.23</v>
      </c>
      <c r="J121" s="13">
        <v>0.03</v>
      </c>
      <c r="K121">
        <v>335.33</v>
      </c>
      <c r="L121">
        <v>261.12</v>
      </c>
      <c r="M121">
        <v>74.209999999999994</v>
      </c>
      <c r="N121" t="s">
        <v>60</v>
      </c>
    </row>
    <row r="122" spans="1:14" x14ac:dyDescent="0.3">
      <c r="A122" t="s">
        <v>176</v>
      </c>
      <c r="B122" s="1">
        <v>45686</v>
      </c>
      <c r="C122" t="s">
        <v>30</v>
      </c>
      <c r="D122" t="s">
        <v>41</v>
      </c>
      <c r="E122" t="s">
        <v>24</v>
      </c>
      <c r="F122" t="s">
        <v>18</v>
      </c>
      <c r="G122" t="s">
        <v>33</v>
      </c>
      <c r="H122">
        <v>6</v>
      </c>
      <c r="I122">
        <v>53.72</v>
      </c>
      <c r="J122" s="13">
        <v>0</v>
      </c>
      <c r="K122">
        <v>322.33999999999997</v>
      </c>
      <c r="L122">
        <v>187.57</v>
      </c>
      <c r="M122">
        <v>134.77000000000001</v>
      </c>
      <c r="N122" t="s">
        <v>34</v>
      </c>
    </row>
    <row r="123" spans="1:14" x14ac:dyDescent="0.3">
      <c r="A123" t="s">
        <v>177</v>
      </c>
      <c r="B123" s="1">
        <v>46016</v>
      </c>
      <c r="C123" t="s">
        <v>40</v>
      </c>
      <c r="D123" t="s">
        <v>23</v>
      </c>
      <c r="E123" t="s">
        <v>17</v>
      </c>
      <c r="F123" t="s">
        <v>18</v>
      </c>
      <c r="G123" t="s">
        <v>79</v>
      </c>
      <c r="H123">
        <v>8</v>
      </c>
      <c r="I123">
        <v>118.22</v>
      </c>
      <c r="J123" s="13">
        <v>0.1</v>
      </c>
      <c r="K123">
        <v>851.19</v>
      </c>
      <c r="L123">
        <v>627.57000000000005</v>
      </c>
      <c r="M123">
        <v>223.62</v>
      </c>
      <c r="N123" t="s">
        <v>70</v>
      </c>
    </row>
    <row r="124" spans="1:14" x14ac:dyDescent="0.3">
      <c r="A124" t="s">
        <v>178</v>
      </c>
      <c r="B124" s="1">
        <v>45850</v>
      </c>
      <c r="C124" t="s">
        <v>104</v>
      </c>
      <c r="D124" t="s">
        <v>31</v>
      </c>
      <c r="E124" t="s">
        <v>44</v>
      </c>
      <c r="F124" t="s">
        <v>18</v>
      </c>
      <c r="G124" t="s">
        <v>50</v>
      </c>
      <c r="H124">
        <v>5</v>
      </c>
      <c r="I124">
        <v>91.14</v>
      </c>
      <c r="J124" s="13">
        <v>0.05</v>
      </c>
      <c r="K124">
        <v>432.93</v>
      </c>
      <c r="L124">
        <v>318.01</v>
      </c>
      <c r="M124">
        <v>114.92</v>
      </c>
      <c r="N124" t="s">
        <v>26</v>
      </c>
    </row>
    <row r="125" spans="1:14" x14ac:dyDescent="0.3">
      <c r="A125" t="s">
        <v>179</v>
      </c>
      <c r="B125" s="1">
        <v>45855</v>
      </c>
      <c r="C125" t="s">
        <v>15</v>
      </c>
      <c r="D125" t="s">
        <v>16</v>
      </c>
      <c r="E125" t="s">
        <v>44</v>
      </c>
      <c r="F125" t="s">
        <v>32</v>
      </c>
      <c r="G125" t="s">
        <v>79</v>
      </c>
      <c r="H125">
        <v>7</v>
      </c>
      <c r="I125">
        <v>69.37</v>
      </c>
      <c r="J125" s="13">
        <v>0.1</v>
      </c>
      <c r="K125">
        <v>437.01</v>
      </c>
      <c r="L125">
        <v>306.77999999999997</v>
      </c>
      <c r="M125">
        <v>130.22999999999999</v>
      </c>
      <c r="N125" t="s">
        <v>26</v>
      </c>
    </row>
    <row r="126" spans="1:14" x14ac:dyDescent="0.3">
      <c r="A126" t="s">
        <v>180</v>
      </c>
      <c r="B126" s="1">
        <v>46006</v>
      </c>
      <c r="C126" t="s">
        <v>48</v>
      </c>
      <c r="D126" t="s">
        <v>16</v>
      </c>
      <c r="E126" t="s">
        <v>24</v>
      </c>
      <c r="F126" t="s">
        <v>45</v>
      </c>
      <c r="G126" t="s">
        <v>25</v>
      </c>
      <c r="H126">
        <v>4</v>
      </c>
      <c r="I126">
        <v>373.26</v>
      </c>
      <c r="J126" s="13">
        <v>0</v>
      </c>
      <c r="K126">
        <v>1493.06</v>
      </c>
      <c r="L126">
        <v>985.89</v>
      </c>
      <c r="M126">
        <v>507.17</v>
      </c>
      <c r="N126" t="s">
        <v>70</v>
      </c>
    </row>
    <row r="127" spans="1:14" x14ac:dyDescent="0.3">
      <c r="A127" t="s">
        <v>181</v>
      </c>
      <c r="B127" s="1">
        <v>45919</v>
      </c>
      <c r="C127" t="s">
        <v>30</v>
      </c>
      <c r="D127" t="s">
        <v>31</v>
      </c>
      <c r="E127" t="s">
        <v>24</v>
      </c>
      <c r="F127" t="s">
        <v>32</v>
      </c>
      <c r="G127" t="s">
        <v>50</v>
      </c>
      <c r="H127">
        <v>1</v>
      </c>
      <c r="I127">
        <v>51.44</v>
      </c>
      <c r="J127" s="13">
        <v>0</v>
      </c>
      <c r="K127">
        <v>51.44</v>
      </c>
      <c r="L127">
        <v>37.86</v>
      </c>
      <c r="M127">
        <v>13.58</v>
      </c>
      <c r="N127" t="s">
        <v>38</v>
      </c>
    </row>
    <row r="128" spans="1:14" x14ac:dyDescent="0.3">
      <c r="A128" t="s">
        <v>182</v>
      </c>
      <c r="B128" s="1">
        <v>45995</v>
      </c>
      <c r="C128" t="s">
        <v>104</v>
      </c>
      <c r="D128" t="s">
        <v>41</v>
      </c>
      <c r="E128" t="s">
        <v>44</v>
      </c>
      <c r="F128" t="s">
        <v>32</v>
      </c>
      <c r="G128" t="s">
        <v>79</v>
      </c>
      <c r="H128">
        <v>3</v>
      </c>
      <c r="I128">
        <v>96.85</v>
      </c>
      <c r="J128" s="13">
        <v>0.03</v>
      </c>
      <c r="K128">
        <v>281.83</v>
      </c>
      <c r="L128">
        <v>198.46</v>
      </c>
      <c r="M128">
        <v>83.37</v>
      </c>
      <c r="N128" t="s">
        <v>70</v>
      </c>
    </row>
    <row r="129" spans="1:14" x14ac:dyDescent="0.3">
      <c r="A129" t="s">
        <v>183</v>
      </c>
      <c r="B129" s="1">
        <v>45755</v>
      </c>
      <c r="C129" t="s">
        <v>30</v>
      </c>
      <c r="D129" t="s">
        <v>16</v>
      </c>
      <c r="E129" t="s">
        <v>44</v>
      </c>
      <c r="F129" t="s">
        <v>18</v>
      </c>
      <c r="G129" t="s">
        <v>33</v>
      </c>
      <c r="H129">
        <v>3</v>
      </c>
      <c r="I129">
        <v>51.96</v>
      </c>
      <c r="J129" s="13">
        <v>0.05</v>
      </c>
      <c r="K129">
        <v>148.09</v>
      </c>
      <c r="L129">
        <v>108.5</v>
      </c>
      <c r="M129">
        <v>39.590000000000003</v>
      </c>
      <c r="N129" t="s">
        <v>63</v>
      </c>
    </row>
    <row r="130" spans="1:14" x14ac:dyDescent="0.3">
      <c r="A130" t="s">
        <v>184</v>
      </c>
      <c r="B130" s="1">
        <v>45682</v>
      </c>
      <c r="C130" t="s">
        <v>104</v>
      </c>
      <c r="D130" t="s">
        <v>31</v>
      </c>
      <c r="E130" t="s">
        <v>17</v>
      </c>
      <c r="F130" t="s">
        <v>18</v>
      </c>
      <c r="G130" t="s">
        <v>33</v>
      </c>
      <c r="H130">
        <v>5</v>
      </c>
      <c r="I130">
        <v>86.34</v>
      </c>
      <c r="J130" s="13">
        <v>0</v>
      </c>
      <c r="K130">
        <v>431.72</v>
      </c>
      <c r="L130">
        <v>278.81</v>
      </c>
      <c r="M130">
        <v>152.91</v>
      </c>
      <c r="N130" t="s">
        <v>34</v>
      </c>
    </row>
    <row r="131" spans="1:14" x14ac:dyDescent="0.3">
      <c r="A131" t="s">
        <v>185</v>
      </c>
      <c r="B131" s="1">
        <v>45973</v>
      </c>
      <c r="C131" t="s">
        <v>15</v>
      </c>
      <c r="D131" t="s">
        <v>23</v>
      </c>
      <c r="E131" t="s">
        <v>17</v>
      </c>
      <c r="F131" t="s">
        <v>18</v>
      </c>
      <c r="G131" t="s">
        <v>50</v>
      </c>
      <c r="H131">
        <v>4</v>
      </c>
      <c r="I131">
        <v>71.400000000000006</v>
      </c>
      <c r="J131" s="13">
        <v>0.05</v>
      </c>
      <c r="K131">
        <v>271.31</v>
      </c>
      <c r="L131">
        <v>170.27</v>
      </c>
      <c r="M131">
        <v>101.04</v>
      </c>
      <c r="N131" t="s">
        <v>60</v>
      </c>
    </row>
    <row r="132" spans="1:14" x14ac:dyDescent="0.3">
      <c r="A132" t="s">
        <v>186</v>
      </c>
      <c r="B132" s="1">
        <v>45697</v>
      </c>
      <c r="C132" t="s">
        <v>28</v>
      </c>
      <c r="D132" t="s">
        <v>41</v>
      </c>
      <c r="E132" t="s">
        <v>17</v>
      </c>
      <c r="F132" t="s">
        <v>32</v>
      </c>
      <c r="G132" t="s">
        <v>50</v>
      </c>
      <c r="H132">
        <v>3</v>
      </c>
      <c r="I132">
        <v>1022.75</v>
      </c>
      <c r="J132" s="13">
        <v>0.1</v>
      </c>
      <c r="K132">
        <v>2761.43</v>
      </c>
      <c r="L132">
        <v>2130.1799999999998</v>
      </c>
      <c r="M132">
        <v>631.25</v>
      </c>
      <c r="N132" t="s">
        <v>102</v>
      </c>
    </row>
    <row r="133" spans="1:14" x14ac:dyDescent="0.3">
      <c r="A133" t="s">
        <v>187</v>
      </c>
      <c r="B133" s="1">
        <v>45826</v>
      </c>
      <c r="C133" t="s">
        <v>48</v>
      </c>
      <c r="D133" t="s">
        <v>31</v>
      </c>
      <c r="E133" t="s">
        <v>44</v>
      </c>
      <c r="F133" t="s">
        <v>45</v>
      </c>
      <c r="G133" t="s">
        <v>37</v>
      </c>
      <c r="H133">
        <v>4</v>
      </c>
      <c r="I133">
        <v>360.22</v>
      </c>
      <c r="J133" s="13">
        <v>0.1</v>
      </c>
      <c r="K133">
        <v>1296.81</v>
      </c>
      <c r="L133">
        <v>1085.6600000000001</v>
      </c>
      <c r="M133">
        <v>211.15</v>
      </c>
      <c r="N133" t="s">
        <v>76</v>
      </c>
    </row>
    <row r="134" spans="1:14" x14ac:dyDescent="0.3">
      <c r="A134" t="s">
        <v>188</v>
      </c>
      <c r="B134" s="1">
        <v>45906</v>
      </c>
      <c r="C134" t="s">
        <v>69</v>
      </c>
      <c r="D134" t="s">
        <v>16</v>
      </c>
      <c r="E134" t="s">
        <v>44</v>
      </c>
      <c r="F134" t="s">
        <v>18</v>
      </c>
      <c r="G134" t="s">
        <v>19</v>
      </c>
      <c r="H134">
        <v>1</v>
      </c>
      <c r="I134">
        <v>291.14</v>
      </c>
      <c r="J134" s="13">
        <v>0.1</v>
      </c>
      <c r="K134">
        <v>262.02999999999997</v>
      </c>
      <c r="L134">
        <v>224.84</v>
      </c>
      <c r="M134">
        <v>37.19</v>
      </c>
      <c r="N134" t="s">
        <v>38</v>
      </c>
    </row>
    <row r="135" spans="1:14" x14ac:dyDescent="0.3">
      <c r="A135" t="s">
        <v>189</v>
      </c>
      <c r="B135" s="1">
        <v>45669</v>
      </c>
      <c r="C135" t="s">
        <v>59</v>
      </c>
      <c r="D135" t="s">
        <v>16</v>
      </c>
      <c r="E135" t="s">
        <v>24</v>
      </c>
      <c r="F135" t="s">
        <v>18</v>
      </c>
      <c r="G135" t="s">
        <v>79</v>
      </c>
      <c r="H135">
        <v>1</v>
      </c>
      <c r="I135">
        <v>33.56</v>
      </c>
      <c r="J135" s="13">
        <v>0.1</v>
      </c>
      <c r="K135">
        <v>30.2</v>
      </c>
      <c r="L135">
        <v>25.05</v>
      </c>
      <c r="M135">
        <v>5.15</v>
      </c>
      <c r="N135" t="s">
        <v>34</v>
      </c>
    </row>
    <row r="136" spans="1:14" x14ac:dyDescent="0.3">
      <c r="A136" t="s">
        <v>190</v>
      </c>
      <c r="B136" s="1">
        <v>45820</v>
      </c>
      <c r="C136" t="s">
        <v>43</v>
      </c>
      <c r="D136" t="s">
        <v>23</v>
      </c>
      <c r="E136" t="s">
        <v>24</v>
      </c>
      <c r="F136" t="s">
        <v>45</v>
      </c>
      <c r="G136" t="s">
        <v>37</v>
      </c>
      <c r="H136">
        <v>2</v>
      </c>
      <c r="I136">
        <v>636.34</v>
      </c>
      <c r="J136" s="13">
        <v>0.05</v>
      </c>
      <c r="K136">
        <v>1209.06</v>
      </c>
      <c r="L136">
        <v>875.61</v>
      </c>
      <c r="M136">
        <v>333.45</v>
      </c>
      <c r="N136" t="s">
        <v>76</v>
      </c>
    </row>
    <row r="137" spans="1:14" x14ac:dyDescent="0.3">
      <c r="A137" t="s">
        <v>191</v>
      </c>
      <c r="B137" s="1">
        <v>45935</v>
      </c>
      <c r="C137" t="s">
        <v>15</v>
      </c>
      <c r="D137" t="s">
        <v>23</v>
      </c>
      <c r="E137" t="s">
        <v>24</v>
      </c>
      <c r="F137" t="s">
        <v>45</v>
      </c>
      <c r="G137" t="s">
        <v>33</v>
      </c>
      <c r="H137">
        <v>2</v>
      </c>
      <c r="I137">
        <v>80.099999999999994</v>
      </c>
      <c r="J137" s="13">
        <v>0</v>
      </c>
      <c r="K137">
        <v>160.19999999999999</v>
      </c>
      <c r="L137">
        <v>117.07</v>
      </c>
      <c r="M137">
        <v>43.13</v>
      </c>
      <c r="N137" t="s">
        <v>51</v>
      </c>
    </row>
    <row r="138" spans="1:14" x14ac:dyDescent="0.3">
      <c r="A138" t="s">
        <v>192</v>
      </c>
      <c r="B138" s="1">
        <v>45777</v>
      </c>
      <c r="C138" t="s">
        <v>59</v>
      </c>
      <c r="D138" t="s">
        <v>16</v>
      </c>
      <c r="E138" t="s">
        <v>44</v>
      </c>
      <c r="F138" t="s">
        <v>32</v>
      </c>
      <c r="G138" t="s">
        <v>46</v>
      </c>
      <c r="H138">
        <v>1</v>
      </c>
      <c r="I138">
        <v>33.33</v>
      </c>
      <c r="J138" s="13">
        <v>0.05</v>
      </c>
      <c r="K138">
        <v>31.67</v>
      </c>
      <c r="L138">
        <v>21.64</v>
      </c>
      <c r="M138">
        <v>10.029999999999999</v>
      </c>
      <c r="N138" t="s">
        <v>63</v>
      </c>
    </row>
    <row r="139" spans="1:14" x14ac:dyDescent="0.3">
      <c r="A139" t="s">
        <v>193</v>
      </c>
      <c r="B139" s="1">
        <v>45690</v>
      </c>
      <c r="C139" t="s">
        <v>43</v>
      </c>
      <c r="D139" t="s">
        <v>41</v>
      </c>
      <c r="E139" t="s">
        <v>24</v>
      </c>
      <c r="F139" t="s">
        <v>45</v>
      </c>
      <c r="G139" t="s">
        <v>79</v>
      </c>
      <c r="H139">
        <v>1</v>
      </c>
      <c r="I139">
        <v>650.96</v>
      </c>
      <c r="J139" s="13">
        <v>0.1</v>
      </c>
      <c r="K139">
        <v>585.86</v>
      </c>
      <c r="L139">
        <v>380.76</v>
      </c>
      <c r="M139">
        <v>205.1</v>
      </c>
      <c r="N139" t="s">
        <v>102</v>
      </c>
    </row>
    <row r="140" spans="1:14" x14ac:dyDescent="0.3">
      <c r="A140" t="s">
        <v>194</v>
      </c>
      <c r="B140" s="1">
        <v>45696</v>
      </c>
      <c r="C140" t="s">
        <v>22</v>
      </c>
      <c r="D140" t="s">
        <v>16</v>
      </c>
      <c r="E140" t="s">
        <v>17</v>
      </c>
      <c r="F140" t="s">
        <v>45</v>
      </c>
      <c r="G140" t="s">
        <v>33</v>
      </c>
      <c r="H140">
        <v>2</v>
      </c>
      <c r="I140">
        <v>84.08</v>
      </c>
      <c r="J140" s="13">
        <v>0.15</v>
      </c>
      <c r="K140">
        <v>142.94</v>
      </c>
      <c r="L140">
        <v>111.87</v>
      </c>
      <c r="M140">
        <v>31.07</v>
      </c>
      <c r="N140" t="s">
        <v>102</v>
      </c>
    </row>
    <row r="141" spans="1:14" x14ac:dyDescent="0.3">
      <c r="A141" t="s">
        <v>195</v>
      </c>
      <c r="B141" s="1">
        <v>45893</v>
      </c>
      <c r="C141" t="s">
        <v>48</v>
      </c>
      <c r="D141" t="s">
        <v>23</v>
      </c>
      <c r="E141" t="s">
        <v>24</v>
      </c>
      <c r="F141" t="s">
        <v>32</v>
      </c>
      <c r="G141" t="s">
        <v>19</v>
      </c>
      <c r="H141">
        <v>1</v>
      </c>
      <c r="I141">
        <v>358.55</v>
      </c>
      <c r="J141" s="13">
        <v>0</v>
      </c>
      <c r="K141">
        <v>358.55</v>
      </c>
      <c r="L141">
        <v>270.20999999999998</v>
      </c>
      <c r="M141">
        <v>88.34</v>
      </c>
      <c r="N141" t="s">
        <v>20</v>
      </c>
    </row>
    <row r="142" spans="1:14" x14ac:dyDescent="0.3">
      <c r="A142" t="s">
        <v>196</v>
      </c>
      <c r="B142" s="1">
        <v>45715</v>
      </c>
      <c r="C142" t="s">
        <v>48</v>
      </c>
      <c r="D142" t="s">
        <v>23</v>
      </c>
      <c r="E142" t="s">
        <v>17</v>
      </c>
      <c r="F142" t="s">
        <v>45</v>
      </c>
      <c r="G142" t="s">
        <v>79</v>
      </c>
      <c r="H142">
        <v>4</v>
      </c>
      <c r="I142">
        <v>371.59</v>
      </c>
      <c r="J142" s="13">
        <v>0.03</v>
      </c>
      <c r="K142">
        <v>1441.76</v>
      </c>
      <c r="L142">
        <v>954.82</v>
      </c>
      <c r="M142">
        <v>486.94</v>
      </c>
      <c r="N142" t="s">
        <v>102</v>
      </c>
    </row>
    <row r="143" spans="1:14" x14ac:dyDescent="0.3">
      <c r="A143" t="s">
        <v>197</v>
      </c>
      <c r="B143" s="1">
        <v>45729</v>
      </c>
      <c r="C143" t="s">
        <v>28</v>
      </c>
      <c r="D143" t="s">
        <v>23</v>
      </c>
      <c r="E143" t="s">
        <v>24</v>
      </c>
      <c r="F143" t="s">
        <v>32</v>
      </c>
      <c r="G143" t="s">
        <v>56</v>
      </c>
      <c r="H143">
        <v>2</v>
      </c>
      <c r="I143">
        <v>978.82</v>
      </c>
      <c r="J143" s="13">
        <v>0.1</v>
      </c>
      <c r="K143">
        <v>1761.87</v>
      </c>
      <c r="L143">
        <v>1320.7</v>
      </c>
      <c r="M143">
        <v>441.17</v>
      </c>
      <c r="N143" t="s">
        <v>53</v>
      </c>
    </row>
    <row r="144" spans="1:14" x14ac:dyDescent="0.3">
      <c r="A144" t="s">
        <v>198</v>
      </c>
      <c r="B144" s="1">
        <v>45838</v>
      </c>
      <c r="C144" t="s">
        <v>69</v>
      </c>
      <c r="D144" t="s">
        <v>23</v>
      </c>
      <c r="E144" t="s">
        <v>44</v>
      </c>
      <c r="F144" t="s">
        <v>45</v>
      </c>
      <c r="G144" t="s">
        <v>25</v>
      </c>
      <c r="H144">
        <v>3</v>
      </c>
      <c r="I144">
        <v>277.41000000000003</v>
      </c>
      <c r="J144" s="13">
        <v>0</v>
      </c>
      <c r="K144">
        <v>832.22</v>
      </c>
      <c r="L144">
        <v>615.30999999999995</v>
      </c>
      <c r="M144">
        <v>216.91</v>
      </c>
      <c r="N144" t="s">
        <v>76</v>
      </c>
    </row>
    <row r="145" spans="1:14" x14ac:dyDescent="0.3">
      <c r="A145" t="s">
        <v>199</v>
      </c>
      <c r="B145" s="1">
        <v>45666</v>
      </c>
      <c r="C145" t="s">
        <v>104</v>
      </c>
      <c r="D145" t="s">
        <v>41</v>
      </c>
      <c r="E145" t="s">
        <v>24</v>
      </c>
      <c r="F145" t="s">
        <v>18</v>
      </c>
      <c r="G145" t="s">
        <v>25</v>
      </c>
      <c r="H145">
        <v>3</v>
      </c>
      <c r="I145">
        <v>85.52</v>
      </c>
      <c r="J145" s="13">
        <v>0.05</v>
      </c>
      <c r="K145">
        <v>243.74</v>
      </c>
      <c r="L145">
        <v>161.51</v>
      </c>
      <c r="M145">
        <v>82.23</v>
      </c>
      <c r="N145" t="s">
        <v>34</v>
      </c>
    </row>
    <row r="146" spans="1:14" x14ac:dyDescent="0.3">
      <c r="A146" t="s">
        <v>200</v>
      </c>
      <c r="B146" s="1">
        <v>45729</v>
      </c>
      <c r="C146" t="s">
        <v>36</v>
      </c>
      <c r="D146" t="s">
        <v>31</v>
      </c>
      <c r="E146" t="s">
        <v>24</v>
      </c>
      <c r="F146" t="s">
        <v>18</v>
      </c>
      <c r="G146" t="s">
        <v>25</v>
      </c>
      <c r="H146">
        <v>5</v>
      </c>
      <c r="I146">
        <v>138.30000000000001</v>
      </c>
      <c r="J146" s="13">
        <v>0.03</v>
      </c>
      <c r="K146">
        <v>670.76</v>
      </c>
      <c r="L146">
        <v>464.03</v>
      </c>
      <c r="M146">
        <v>206.73</v>
      </c>
      <c r="N146" t="s">
        <v>53</v>
      </c>
    </row>
    <row r="147" spans="1:14" x14ac:dyDescent="0.3">
      <c r="A147" t="s">
        <v>201</v>
      </c>
      <c r="B147" s="1">
        <v>45924</v>
      </c>
      <c r="C147" t="s">
        <v>43</v>
      </c>
      <c r="D147" t="s">
        <v>41</v>
      </c>
      <c r="E147" t="s">
        <v>17</v>
      </c>
      <c r="F147" t="s">
        <v>18</v>
      </c>
      <c r="G147" t="s">
        <v>33</v>
      </c>
      <c r="H147">
        <v>4</v>
      </c>
      <c r="I147">
        <v>647.51</v>
      </c>
      <c r="J147" s="13">
        <v>0.1</v>
      </c>
      <c r="K147">
        <v>2331.0500000000002</v>
      </c>
      <c r="L147">
        <v>1995.72</v>
      </c>
      <c r="M147">
        <v>335.33</v>
      </c>
      <c r="N147" t="s">
        <v>38</v>
      </c>
    </row>
    <row r="148" spans="1:14" x14ac:dyDescent="0.3">
      <c r="A148" t="s">
        <v>202</v>
      </c>
      <c r="B148" s="1">
        <v>45859</v>
      </c>
      <c r="C148" t="s">
        <v>43</v>
      </c>
      <c r="D148" t="s">
        <v>23</v>
      </c>
      <c r="E148" t="s">
        <v>24</v>
      </c>
      <c r="F148" t="s">
        <v>18</v>
      </c>
      <c r="G148" t="s">
        <v>37</v>
      </c>
      <c r="H148">
        <v>3</v>
      </c>
      <c r="I148">
        <v>575.66999999999996</v>
      </c>
      <c r="J148" s="13">
        <v>0.05</v>
      </c>
      <c r="K148">
        <v>1640.66</v>
      </c>
      <c r="L148">
        <v>1244.3</v>
      </c>
      <c r="M148">
        <v>396.36</v>
      </c>
      <c r="N148" t="s">
        <v>26</v>
      </c>
    </row>
    <row r="149" spans="1:14" x14ac:dyDescent="0.3">
      <c r="A149" t="s">
        <v>203</v>
      </c>
      <c r="B149" s="1">
        <v>45760</v>
      </c>
      <c r="C149" t="s">
        <v>36</v>
      </c>
      <c r="D149" t="s">
        <v>41</v>
      </c>
      <c r="E149" t="s">
        <v>44</v>
      </c>
      <c r="F149" t="s">
        <v>18</v>
      </c>
      <c r="G149" t="s">
        <v>37</v>
      </c>
      <c r="H149">
        <v>1</v>
      </c>
      <c r="I149">
        <v>156.09</v>
      </c>
      <c r="J149" s="13">
        <v>0.1</v>
      </c>
      <c r="K149">
        <v>140.47999999999999</v>
      </c>
      <c r="L149">
        <v>101.7</v>
      </c>
      <c r="M149">
        <v>38.78</v>
      </c>
      <c r="N149" t="s">
        <v>63</v>
      </c>
    </row>
    <row r="150" spans="1:14" x14ac:dyDescent="0.3">
      <c r="A150" t="s">
        <v>204</v>
      </c>
      <c r="B150" s="1">
        <v>45780</v>
      </c>
      <c r="C150" t="s">
        <v>67</v>
      </c>
      <c r="D150" t="s">
        <v>41</v>
      </c>
      <c r="E150" t="s">
        <v>17</v>
      </c>
      <c r="F150" t="s">
        <v>45</v>
      </c>
      <c r="G150" t="s">
        <v>46</v>
      </c>
      <c r="H150">
        <v>1</v>
      </c>
      <c r="I150">
        <v>178.61</v>
      </c>
      <c r="J150" s="13">
        <v>0</v>
      </c>
      <c r="K150">
        <v>178.61</v>
      </c>
      <c r="L150">
        <v>126.33</v>
      </c>
      <c r="M150">
        <v>52.28</v>
      </c>
      <c r="N150" t="s">
        <v>72</v>
      </c>
    </row>
    <row r="151" spans="1:14" x14ac:dyDescent="0.3">
      <c r="A151" t="s">
        <v>205</v>
      </c>
      <c r="B151" s="1">
        <v>45975</v>
      </c>
      <c r="C151" t="s">
        <v>36</v>
      </c>
      <c r="D151" t="s">
        <v>16</v>
      </c>
      <c r="E151" t="s">
        <v>44</v>
      </c>
      <c r="F151" t="s">
        <v>18</v>
      </c>
      <c r="G151" t="s">
        <v>33</v>
      </c>
      <c r="H151">
        <v>5</v>
      </c>
      <c r="I151">
        <v>151.06</v>
      </c>
      <c r="J151" s="13">
        <v>0.05</v>
      </c>
      <c r="K151">
        <v>717.55</v>
      </c>
      <c r="L151">
        <v>559.19000000000005</v>
      </c>
      <c r="M151">
        <v>158.36000000000001</v>
      </c>
      <c r="N151" t="s">
        <v>60</v>
      </c>
    </row>
    <row r="152" spans="1:14" x14ac:dyDescent="0.3">
      <c r="A152" t="s">
        <v>206</v>
      </c>
      <c r="B152" s="1">
        <v>45845</v>
      </c>
      <c r="C152" t="s">
        <v>36</v>
      </c>
      <c r="D152" t="s">
        <v>41</v>
      </c>
      <c r="E152" t="s">
        <v>24</v>
      </c>
      <c r="F152" t="s">
        <v>45</v>
      </c>
      <c r="G152" t="s">
        <v>33</v>
      </c>
      <c r="H152">
        <v>4</v>
      </c>
      <c r="I152">
        <v>147.83000000000001</v>
      </c>
      <c r="J152" s="13">
        <v>0.05</v>
      </c>
      <c r="K152">
        <v>561.74</v>
      </c>
      <c r="L152">
        <v>347.78</v>
      </c>
      <c r="M152">
        <v>213.96</v>
      </c>
      <c r="N152" t="s">
        <v>26</v>
      </c>
    </row>
    <row r="153" spans="1:14" x14ac:dyDescent="0.3">
      <c r="A153" t="s">
        <v>207</v>
      </c>
      <c r="B153" s="1">
        <v>46013</v>
      </c>
      <c r="C153" t="s">
        <v>30</v>
      </c>
      <c r="D153" t="s">
        <v>31</v>
      </c>
      <c r="E153" t="s">
        <v>24</v>
      </c>
      <c r="F153" t="s">
        <v>45</v>
      </c>
      <c r="G153" t="s">
        <v>46</v>
      </c>
      <c r="H153">
        <v>5</v>
      </c>
      <c r="I153">
        <v>51.25</v>
      </c>
      <c r="J153" s="13">
        <v>0</v>
      </c>
      <c r="K153">
        <v>256.27</v>
      </c>
      <c r="L153">
        <v>198.66</v>
      </c>
      <c r="M153">
        <v>57.61</v>
      </c>
      <c r="N153" t="s">
        <v>70</v>
      </c>
    </row>
    <row r="154" spans="1:14" x14ac:dyDescent="0.3">
      <c r="A154" t="s">
        <v>208</v>
      </c>
      <c r="B154" s="1">
        <v>45969</v>
      </c>
      <c r="C154" t="s">
        <v>28</v>
      </c>
      <c r="D154" t="s">
        <v>31</v>
      </c>
      <c r="E154" t="s">
        <v>17</v>
      </c>
      <c r="F154" t="s">
        <v>18</v>
      </c>
      <c r="G154" t="s">
        <v>79</v>
      </c>
      <c r="H154">
        <v>1</v>
      </c>
      <c r="I154">
        <v>885.72</v>
      </c>
      <c r="J154" s="13">
        <v>0.05</v>
      </c>
      <c r="K154">
        <v>841.43</v>
      </c>
      <c r="L154">
        <v>572.58000000000004</v>
      </c>
      <c r="M154">
        <v>268.85000000000002</v>
      </c>
      <c r="N154" t="s">
        <v>60</v>
      </c>
    </row>
    <row r="155" spans="1:14" x14ac:dyDescent="0.3">
      <c r="A155" t="s">
        <v>209</v>
      </c>
      <c r="B155" s="1">
        <v>46007</v>
      </c>
      <c r="C155" t="s">
        <v>22</v>
      </c>
      <c r="D155" t="s">
        <v>31</v>
      </c>
      <c r="E155" t="s">
        <v>17</v>
      </c>
      <c r="F155" t="s">
        <v>45</v>
      </c>
      <c r="G155" t="s">
        <v>33</v>
      </c>
      <c r="H155">
        <v>1</v>
      </c>
      <c r="I155">
        <v>77.73</v>
      </c>
      <c r="J155" s="13">
        <v>0.03</v>
      </c>
      <c r="K155">
        <v>75.400000000000006</v>
      </c>
      <c r="L155">
        <v>52.27</v>
      </c>
      <c r="M155">
        <v>23.13</v>
      </c>
      <c r="N155" t="s">
        <v>70</v>
      </c>
    </row>
    <row r="156" spans="1:14" x14ac:dyDescent="0.3">
      <c r="A156" t="s">
        <v>210</v>
      </c>
      <c r="B156" s="1">
        <v>45753</v>
      </c>
      <c r="C156" t="s">
        <v>40</v>
      </c>
      <c r="D156" t="s">
        <v>31</v>
      </c>
      <c r="E156" t="s">
        <v>24</v>
      </c>
      <c r="F156" t="s">
        <v>45</v>
      </c>
      <c r="G156" t="s">
        <v>19</v>
      </c>
      <c r="H156">
        <v>4</v>
      </c>
      <c r="I156">
        <v>115.18</v>
      </c>
      <c r="J156" s="13">
        <v>0.05</v>
      </c>
      <c r="K156">
        <v>437.68</v>
      </c>
      <c r="L156">
        <v>317.27</v>
      </c>
      <c r="M156">
        <v>120.41</v>
      </c>
      <c r="N156" t="s">
        <v>63</v>
      </c>
    </row>
    <row r="157" spans="1:14" x14ac:dyDescent="0.3">
      <c r="A157" t="s">
        <v>211</v>
      </c>
      <c r="B157" s="1">
        <v>45843</v>
      </c>
      <c r="C157" t="s">
        <v>40</v>
      </c>
      <c r="D157" t="s">
        <v>41</v>
      </c>
      <c r="E157" t="s">
        <v>24</v>
      </c>
      <c r="F157" t="s">
        <v>18</v>
      </c>
      <c r="G157" t="s">
        <v>37</v>
      </c>
      <c r="H157">
        <v>5</v>
      </c>
      <c r="I157">
        <v>112.15</v>
      </c>
      <c r="J157" s="13">
        <v>0.05</v>
      </c>
      <c r="K157">
        <v>532.71</v>
      </c>
      <c r="L157">
        <v>436.5</v>
      </c>
      <c r="M157">
        <v>96.21</v>
      </c>
      <c r="N157" t="s">
        <v>26</v>
      </c>
    </row>
    <row r="158" spans="1:14" x14ac:dyDescent="0.3">
      <c r="A158" t="s">
        <v>212</v>
      </c>
      <c r="B158" s="1">
        <v>45744</v>
      </c>
      <c r="C158" t="s">
        <v>40</v>
      </c>
      <c r="D158" t="s">
        <v>41</v>
      </c>
      <c r="E158" t="s">
        <v>24</v>
      </c>
      <c r="F158" t="s">
        <v>32</v>
      </c>
      <c r="G158" t="s">
        <v>46</v>
      </c>
      <c r="H158">
        <v>1</v>
      </c>
      <c r="I158">
        <v>115.13</v>
      </c>
      <c r="J158" s="13">
        <v>0.05</v>
      </c>
      <c r="K158">
        <v>109.37</v>
      </c>
      <c r="L158">
        <v>87.71</v>
      </c>
      <c r="M158">
        <v>21.66</v>
      </c>
      <c r="N158" t="s">
        <v>53</v>
      </c>
    </row>
    <row r="159" spans="1:14" x14ac:dyDescent="0.3">
      <c r="A159" t="s">
        <v>213</v>
      </c>
      <c r="B159" s="1">
        <v>45671</v>
      </c>
      <c r="C159" t="s">
        <v>15</v>
      </c>
      <c r="D159" t="s">
        <v>23</v>
      </c>
      <c r="E159" t="s">
        <v>17</v>
      </c>
      <c r="F159" t="s">
        <v>45</v>
      </c>
      <c r="G159" t="s">
        <v>46</v>
      </c>
      <c r="H159">
        <v>2</v>
      </c>
      <c r="I159">
        <v>68.540000000000006</v>
      </c>
      <c r="J159" s="13">
        <v>0</v>
      </c>
      <c r="K159">
        <v>137.07</v>
      </c>
      <c r="L159">
        <v>90.61</v>
      </c>
      <c r="M159">
        <v>46.46</v>
      </c>
      <c r="N159" t="s">
        <v>34</v>
      </c>
    </row>
    <row r="160" spans="1:14" x14ac:dyDescent="0.3">
      <c r="A160" t="s">
        <v>214</v>
      </c>
      <c r="B160" s="1">
        <v>45821</v>
      </c>
      <c r="C160" t="s">
        <v>69</v>
      </c>
      <c r="D160" t="s">
        <v>31</v>
      </c>
      <c r="E160" t="s">
        <v>24</v>
      </c>
      <c r="F160" t="s">
        <v>18</v>
      </c>
      <c r="G160" t="s">
        <v>37</v>
      </c>
      <c r="H160">
        <v>7</v>
      </c>
      <c r="I160">
        <v>273.89999999999998</v>
      </c>
      <c r="J160" s="13">
        <v>0.03</v>
      </c>
      <c r="K160">
        <v>1859.78</v>
      </c>
      <c r="L160">
        <v>1363.87</v>
      </c>
      <c r="M160">
        <v>495.91</v>
      </c>
      <c r="N160" t="s">
        <v>76</v>
      </c>
    </row>
    <row r="161" spans="1:14" x14ac:dyDescent="0.3">
      <c r="A161" t="s">
        <v>215</v>
      </c>
      <c r="B161" s="1">
        <v>45914</v>
      </c>
      <c r="C161" t="s">
        <v>28</v>
      </c>
      <c r="D161" t="s">
        <v>31</v>
      </c>
      <c r="E161" t="s">
        <v>24</v>
      </c>
      <c r="F161" t="s">
        <v>45</v>
      </c>
      <c r="G161" t="s">
        <v>50</v>
      </c>
      <c r="H161">
        <v>3</v>
      </c>
      <c r="I161">
        <v>887.25</v>
      </c>
      <c r="J161" s="13">
        <v>0.03</v>
      </c>
      <c r="K161">
        <v>2581.91</v>
      </c>
      <c r="L161">
        <v>1985.08</v>
      </c>
      <c r="M161">
        <v>596.83000000000004</v>
      </c>
      <c r="N161" t="s">
        <v>38</v>
      </c>
    </row>
    <row r="162" spans="1:14" x14ac:dyDescent="0.3">
      <c r="A162" t="s">
        <v>216</v>
      </c>
      <c r="B162" s="1">
        <v>45861</v>
      </c>
      <c r="C162" t="s">
        <v>30</v>
      </c>
      <c r="D162" t="s">
        <v>31</v>
      </c>
      <c r="E162" t="s">
        <v>17</v>
      </c>
      <c r="F162" t="s">
        <v>45</v>
      </c>
      <c r="G162" t="s">
        <v>19</v>
      </c>
      <c r="H162">
        <v>2</v>
      </c>
      <c r="I162">
        <v>53.45</v>
      </c>
      <c r="J162" s="13">
        <v>0.05</v>
      </c>
      <c r="K162">
        <v>101.56</v>
      </c>
      <c r="L162">
        <v>69.63</v>
      </c>
      <c r="M162">
        <v>31.93</v>
      </c>
      <c r="N162" t="s">
        <v>26</v>
      </c>
    </row>
    <row r="163" spans="1:14" x14ac:dyDescent="0.3">
      <c r="A163" t="s">
        <v>217</v>
      </c>
      <c r="B163" s="1">
        <v>45787</v>
      </c>
      <c r="C163" t="s">
        <v>36</v>
      </c>
      <c r="D163" t="s">
        <v>31</v>
      </c>
      <c r="E163" t="s">
        <v>17</v>
      </c>
      <c r="F163" t="s">
        <v>32</v>
      </c>
      <c r="G163" t="s">
        <v>56</v>
      </c>
      <c r="H163">
        <v>1</v>
      </c>
      <c r="I163">
        <v>155.68</v>
      </c>
      <c r="J163" s="13">
        <v>0</v>
      </c>
      <c r="K163">
        <v>155.68</v>
      </c>
      <c r="L163">
        <v>98.69</v>
      </c>
      <c r="M163">
        <v>56.99</v>
      </c>
      <c r="N163" t="s">
        <v>72</v>
      </c>
    </row>
    <row r="164" spans="1:14" x14ac:dyDescent="0.3">
      <c r="A164" t="s">
        <v>218</v>
      </c>
      <c r="B164" s="1">
        <v>45836</v>
      </c>
      <c r="C164" t="s">
        <v>40</v>
      </c>
      <c r="D164" t="s">
        <v>41</v>
      </c>
      <c r="E164" t="s">
        <v>17</v>
      </c>
      <c r="F164" t="s">
        <v>18</v>
      </c>
      <c r="G164" t="s">
        <v>37</v>
      </c>
      <c r="H164">
        <v>1</v>
      </c>
      <c r="I164">
        <v>103.94</v>
      </c>
      <c r="J164" s="13">
        <v>0</v>
      </c>
      <c r="K164">
        <v>103.94</v>
      </c>
      <c r="L164">
        <v>62.43</v>
      </c>
      <c r="M164">
        <v>41.51</v>
      </c>
      <c r="N164" t="s">
        <v>76</v>
      </c>
    </row>
    <row r="165" spans="1:14" x14ac:dyDescent="0.3">
      <c r="A165" t="s">
        <v>219</v>
      </c>
      <c r="B165" s="1">
        <v>45880</v>
      </c>
      <c r="C165" t="s">
        <v>43</v>
      </c>
      <c r="D165" t="s">
        <v>23</v>
      </c>
      <c r="E165" t="s">
        <v>17</v>
      </c>
      <c r="F165" t="s">
        <v>18</v>
      </c>
      <c r="G165" t="s">
        <v>33</v>
      </c>
      <c r="H165">
        <v>7</v>
      </c>
      <c r="I165">
        <v>558.61</v>
      </c>
      <c r="J165" s="13">
        <v>0.05</v>
      </c>
      <c r="K165">
        <v>3714.77</v>
      </c>
      <c r="L165">
        <v>2946.73</v>
      </c>
      <c r="M165">
        <v>768.04</v>
      </c>
      <c r="N165" t="s">
        <v>20</v>
      </c>
    </row>
    <row r="166" spans="1:14" x14ac:dyDescent="0.3">
      <c r="A166" t="s">
        <v>220</v>
      </c>
      <c r="B166" s="1">
        <v>45665</v>
      </c>
      <c r="C166" t="s">
        <v>36</v>
      </c>
      <c r="D166" t="s">
        <v>41</v>
      </c>
      <c r="E166" t="s">
        <v>24</v>
      </c>
      <c r="F166" t="s">
        <v>45</v>
      </c>
      <c r="G166" t="s">
        <v>56</v>
      </c>
      <c r="H166">
        <v>1</v>
      </c>
      <c r="I166">
        <v>134.15</v>
      </c>
      <c r="J166" s="13">
        <v>0</v>
      </c>
      <c r="K166">
        <v>134.15</v>
      </c>
      <c r="L166">
        <v>103.02</v>
      </c>
      <c r="M166">
        <v>31.13</v>
      </c>
      <c r="N166" t="s">
        <v>34</v>
      </c>
    </row>
    <row r="167" spans="1:14" x14ac:dyDescent="0.3">
      <c r="A167" t="s">
        <v>221</v>
      </c>
      <c r="B167" s="1">
        <v>45875</v>
      </c>
      <c r="C167" t="s">
        <v>15</v>
      </c>
      <c r="D167" t="s">
        <v>16</v>
      </c>
      <c r="E167" t="s">
        <v>17</v>
      </c>
      <c r="F167" t="s">
        <v>18</v>
      </c>
      <c r="G167" t="s">
        <v>50</v>
      </c>
      <c r="H167">
        <v>1</v>
      </c>
      <c r="I167">
        <v>80.52</v>
      </c>
      <c r="J167" s="13">
        <v>0.05</v>
      </c>
      <c r="K167">
        <v>76.5</v>
      </c>
      <c r="L167">
        <v>60.2</v>
      </c>
      <c r="M167">
        <v>16.3</v>
      </c>
      <c r="N167" t="s">
        <v>20</v>
      </c>
    </row>
    <row r="168" spans="1:14" x14ac:dyDescent="0.3">
      <c r="A168" t="s">
        <v>222</v>
      </c>
      <c r="B168" s="1">
        <v>45946</v>
      </c>
      <c r="C168" t="s">
        <v>48</v>
      </c>
      <c r="D168" t="s">
        <v>31</v>
      </c>
      <c r="E168" t="s">
        <v>24</v>
      </c>
      <c r="F168" t="s">
        <v>45</v>
      </c>
      <c r="G168" t="s">
        <v>56</v>
      </c>
      <c r="H168">
        <v>4</v>
      </c>
      <c r="I168">
        <v>364.79</v>
      </c>
      <c r="J168" s="13">
        <v>0</v>
      </c>
      <c r="K168">
        <v>1459.17</v>
      </c>
      <c r="L168">
        <v>1078.48</v>
      </c>
      <c r="M168">
        <v>380.69</v>
      </c>
      <c r="N168" t="s">
        <v>51</v>
      </c>
    </row>
    <row r="169" spans="1:14" x14ac:dyDescent="0.3">
      <c r="A169" t="s">
        <v>223</v>
      </c>
      <c r="B169" s="1">
        <v>45720</v>
      </c>
      <c r="C169" t="s">
        <v>40</v>
      </c>
      <c r="D169" t="s">
        <v>31</v>
      </c>
      <c r="E169" t="s">
        <v>44</v>
      </c>
      <c r="F169" t="s">
        <v>32</v>
      </c>
      <c r="G169" t="s">
        <v>56</v>
      </c>
      <c r="H169">
        <v>2</v>
      </c>
      <c r="I169">
        <v>111.7</v>
      </c>
      <c r="J169" s="13">
        <v>0</v>
      </c>
      <c r="K169">
        <v>223.4</v>
      </c>
      <c r="L169">
        <v>156.6</v>
      </c>
      <c r="M169">
        <v>66.8</v>
      </c>
      <c r="N169" t="s">
        <v>53</v>
      </c>
    </row>
    <row r="170" spans="1:14" x14ac:dyDescent="0.3">
      <c r="A170" t="s">
        <v>224</v>
      </c>
      <c r="B170" s="1">
        <v>45789</v>
      </c>
      <c r="C170" t="s">
        <v>67</v>
      </c>
      <c r="D170" t="s">
        <v>41</v>
      </c>
      <c r="E170" t="s">
        <v>24</v>
      </c>
      <c r="F170" t="s">
        <v>32</v>
      </c>
      <c r="G170" t="s">
        <v>56</v>
      </c>
      <c r="H170">
        <v>4</v>
      </c>
      <c r="I170">
        <v>192.55</v>
      </c>
      <c r="J170" s="13">
        <v>0.1</v>
      </c>
      <c r="K170">
        <v>693.17</v>
      </c>
      <c r="L170">
        <v>508.96</v>
      </c>
      <c r="M170">
        <v>184.21</v>
      </c>
      <c r="N170" t="s">
        <v>72</v>
      </c>
    </row>
    <row r="171" spans="1:14" x14ac:dyDescent="0.3">
      <c r="A171" t="s">
        <v>225</v>
      </c>
      <c r="B171" s="1">
        <v>45746</v>
      </c>
      <c r="C171" t="s">
        <v>67</v>
      </c>
      <c r="D171" t="s">
        <v>31</v>
      </c>
      <c r="E171" t="s">
        <v>24</v>
      </c>
      <c r="F171" t="s">
        <v>18</v>
      </c>
      <c r="G171" t="s">
        <v>46</v>
      </c>
      <c r="H171">
        <v>5</v>
      </c>
      <c r="I171">
        <v>187.55</v>
      </c>
      <c r="J171" s="13">
        <v>0</v>
      </c>
      <c r="K171">
        <v>937.76</v>
      </c>
      <c r="L171">
        <v>646.02</v>
      </c>
      <c r="M171">
        <v>291.74</v>
      </c>
      <c r="N171" t="s">
        <v>53</v>
      </c>
    </row>
    <row r="172" spans="1:14" x14ac:dyDescent="0.3">
      <c r="A172" t="s">
        <v>226</v>
      </c>
      <c r="B172" s="1">
        <v>45948</v>
      </c>
      <c r="C172" t="s">
        <v>36</v>
      </c>
      <c r="D172" t="s">
        <v>23</v>
      </c>
      <c r="E172" t="s">
        <v>24</v>
      </c>
      <c r="F172" t="s">
        <v>45</v>
      </c>
      <c r="G172" t="s">
        <v>19</v>
      </c>
      <c r="H172">
        <v>3</v>
      </c>
      <c r="I172">
        <v>141.53</v>
      </c>
      <c r="J172" s="13">
        <v>0.05</v>
      </c>
      <c r="K172">
        <v>403.37</v>
      </c>
      <c r="L172">
        <v>292.61</v>
      </c>
      <c r="M172">
        <v>110.76</v>
      </c>
      <c r="N172" t="s">
        <v>51</v>
      </c>
    </row>
    <row r="173" spans="1:14" x14ac:dyDescent="0.3">
      <c r="A173" t="s">
        <v>227</v>
      </c>
      <c r="B173" s="1">
        <v>45961</v>
      </c>
      <c r="C173" t="s">
        <v>40</v>
      </c>
      <c r="D173" t="s">
        <v>41</v>
      </c>
      <c r="E173" t="s">
        <v>17</v>
      </c>
      <c r="F173" t="s">
        <v>18</v>
      </c>
      <c r="G173" t="s">
        <v>37</v>
      </c>
      <c r="H173">
        <v>2</v>
      </c>
      <c r="I173">
        <v>112.63</v>
      </c>
      <c r="J173" s="13">
        <v>0.03</v>
      </c>
      <c r="K173">
        <v>218.5</v>
      </c>
      <c r="L173">
        <v>169.54</v>
      </c>
      <c r="M173">
        <v>48.96</v>
      </c>
      <c r="N173" t="s">
        <v>51</v>
      </c>
    </row>
    <row r="174" spans="1:14" x14ac:dyDescent="0.3">
      <c r="A174" t="s">
        <v>228</v>
      </c>
      <c r="B174" s="1">
        <v>45700</v>
      </c>
      <c r="C174" t="s">
        <v>69</v>
      </c>
      <c r="D174" t="s">
        <v>23</v>
      </c>
      <c r="E174" t="s">
        <v>17</v>
      </c>
      <c r="F174" t="s">
        <v>45</v>
      </c>
      <c r="G174" t="s">
        <v>33</v>
      </c>
      <c r="H174">
        <v>3</v>
      </c>
      <c r="I174">
        <v>260.33999999999997</v>
      </c>
      <c r="J174" s="13">
        <v>0</v>
      </c>
      <c r="K174">
        <v>781.03</v>
      </c>
      <c r="L174">
        <v>527.46</v>
      </c>
      <c r="M174">
        <v>253.57</v>
      </c>
      <c r="N174" t="s">
        <v>102</v>
      </c>
    </row>
    <row r="175" spans="1:14" x14ac:dyDescent="0.3">
      <c r="A175" t="s">
        <v>229</v>
      </c>
      <c r="B175" s="1">
        <v>45781</v>
      </c>
      <c r="C175" t="s">
        <v>43</v>
      </c>
      <c r="D175" t="s">
        <v>16</v>
      </c>
      <c r="E175" t="s">
        <v>24</v>
      </c>
      <c r="F175" t="s">
        <v>32</v>
      </c>
      <c r="G175" t="s">
        <v>46</v>
      </c>
      <c r="H175">
        <v>1</v>
      </c>
      <c r="I175">
        <v>560.26</v>
      </c>
      <c r="J175" s="13">
        <v>0</v>
      </c>
      <c r="K175">
        <v>560.26</v>
      </c>
      <c r="L175">
        <v>397.5</v>
      </c>
      <c r="M175">
        <v>162.76</v>
      </c>
      <c r="N175" t="s">
        <v>72</v>
      </c>
    </row>
    <row r="176" spans="1:14" x14ac:dyDescent="0.3">
      <c r="A176" t="s">
        <v>230</v>
      </c>
      <c r="B176" s="1">
        <v>45709</v>
      </c>
      <c r="C176" t="s">
        <v>30</v>
      </c>
      <c r="D176" t="s">
        <v>41</v>
      </c>
      <c r="E176" t="s">
        <v>24</v>
      </c>
      <c r="F176" t="s">
        <v>45</v>
      </c>
      <c r="G176" t="s">
        <v>79</v>
      </c>
      <c r="H176">
        <v>1</v>
      </c>
      <c r="I176">
        <v>54.77</v>
      </c>
      <c r="J176" s="13">
        <v>0</v>
      </c>
      <c r="K176">
        <v>54.77</v>
      </c>
      <c r="L176">
        <v>38.53</v>
      </c>
      <c r="M176">
        <v>16.239999999999998</v>
      </c>
      <c r="N176" t="s">
        <v>102</v>
      </c>
    </row>
    <row r="177" spans="1:14" x14ac:dyDescent="0.3">
      <c r="A177" t="s">
        <v>231</v>
      </c>
      <c r="B177" s="1">
        <v>45747</v>
      </c>
      <c r="C177" t="s">
        <v>36</v>
      </c>
      <c r="D177" t="s">
        <v>31</v>
      </c>
      <c r="E177" t="s">
        <v>17</v>
      </c>
      <c r="F177" t="s">
        <v>18</v>
      </c>
      <c r="G177" t="s">
        <v>33</v>
      </c>
      <c r="H177">
        <v>4</v>
      </c>
      <c r="I177">
        <v>133.1</v>
      </c>
      <c r="J177" s="13">
        <v>0.03</v>
      </c>
      <c r="K177">
        <v>516.41999999999996</v>
      </c>
      <c r="L177">
        <v>412.79</v>
      </c>
      <c r="M177">
        <v>103.63</v>
      </c>
      <c r="N177" t="s">
        <v>53</v>
      </c>
    </row>
    <row r="178" spans="1:14" x14ac:dyDescent="0.3">
      <c r="A178" t="s">
        <v>232</v>
      </c>
      <c r="B178" s="1">
        <v>45955</v>
      </c>
      <c r="C178" t="s">
        <v>69</v>
      </c>
      <c r="D178" t="s">
        <v>23</v>
      </c>
      <c r="E178" t="s">
        <v>44</v>
      </c>
      <c r="F178" t="s">
        <v>18</v>
      </c>
      <c r="G178" t="s">
        <v>46</v>
      </c>
      <c r="H178">
        <v>4</v>
      </c>
      <c r="I178">
        <v>281.41000000000003</v>
      </c>
      <c r="J178" s="13">
        <v>0</v>
      </c>
      <c r="K178">
        <v>1125.6400000000001</v>
      </c>
      <c r="L178">
        <v>780.59</v>
      </c>
      <c r="M178">
        <v>345.05</v>
      </c>
      <c r="N178" t="s">
        <v>51</v>
      </c>
    </row>
    <row r="179" spans="1:14" x14ac:dyDescent="0.3">
      <c r="A179" t="s">
        <v>233</v>
      </c>
      <c r="B179" s="1">
        <v>45775</v>
      </c>
      <c r="C179" t="s">
        <v>67</v>
      </c>
      <c r="D179" t="s">
        <v>31</v>
      </c>
      <c r="E179" t="s">
        <v>44</v>
      </c>
      <c r="F179" t="s">
        <v>18</v>
      </c>
      <c r="G179" t="s">
        <v>50</v>
      </c>
      <c r="H179">
        <v>3</v>
      </c>
      <c r="I179">
        <v>185.19</v>
      </c>
      <c r="J179" s="13">
        <v>0</v>
      </c>
      <c r="K179">
        <v>555.58000000000004</v>
      </c>
      <c r="L179">
        <v>322.52</v>
      </c>
      <c r="M179">
        <v>233.06</v>
      </c>
      <c r="N179" t="s">
        <v>63</v>
      </c>
    </row>
    <row r="180" spans="1:14" x14ac:dyDescent="0.3">
      <c r="A180" t="s">
        <v>234</v>
      </c>
      <c r="B180" s="1">
        <v>45706</v>
      </c>
      <c r="C180" t="s">
        <v>40</v>
      </c>
      <c r="D180" t="s">
        <v>41</v>
      </c>
      <c r="E180" t="s">
        <v>24</v>
      </c>
      <c r="F180" t="s">
        <v>18</v>
      </c>
      <c r="G180" t="s">
        <v>19</v>
      </c>
      <c r="H180">
        <v>2</v>
      </c>
      <c r="I180">
        <v>102.85</v>
      </c>
      <c r="J180" s="13">
        <v>0.1</v>
      </c>
      <c r="K180">
        <v>185.12</v>
      </c>
      <c r="L180">
        <v>150.97</v>
      </c>
      <c r="M180">
        <v>34.15</v>
      </c>
      <c r="N180" t="s">
        <v>102</v>
      </c>
    </row>
    <row r="181" spans="1:14" x14ac:dyDescent="0.3">
      <c r="A181" t="s">
        <v>235</v>
      </c>
      <c r="B181" s="1">
        <v>45899</v>
      </c>
      <c r="C181" t="s">
        <v>67</v>
      </c>
      <c r="D181" t="s">
        <v>31</v>
      </c>
      <c r="E181" t="s">
        <v>24</v>
      </c>
      <c r="F181" t="s">
        <v>45</v>
      </c>
      <c r="G181" t="s">
        <v>37</v>
      </c>
      <c r="H181">
        <v>4</v>
      </c>
      <c r="I181">
        <v>187.1</v>
      </c>
      <c r="J181" s="13">
        <v>0</v>
      </c>
      <c r="K181">
        <v>748.41</v>
      </c>
      <c r="L181">
        <v>527.46</v>
      </c>
      <c r="M181">
        <v>220.95</v>
      </c>
      <c r="N181" t="s">
        <v>20</v>
      </c>
    </row>
    <row r="182" spans="1:14" x14ac:dyDescent="0.3">
      <c r="A182" t="s">
        <v>236</v>
      </c>
      <c r="B182" s="1">
        <v>45817</v>
      </c>
      <c r="C182" t="s">
        <v>104</v>
      </c>
      <c r="D182" t="s">
        <v>16</v>
      </c>
      <c r="E182" t="s">
        <v>24</v>
      </c>
      <c r="F182" t="s">
        <v>18</v>
      </c>
      <c r="G182" t="s">
        <v>56</v>
      </c>
      <c r="H182">
        <v>1</v>
      </c>
      <c r="I182">
        <v>95.67</v>
      </c>
      <c r="J182" s="13">
        <v>0.03</v>
      </c>
      <c r="K182">
        <v>92.8</v>
      </c>
      <c r="L182">
        <v>59.9</v>
      </c>
      <c r="M182">
        <v>32.9</v>
      </c>
      <c r="N182" t="s">
        <v>76</v>
      </c>
    </row>
    <row r="183" spans="1:14" x14ac:dyDescent="0.3">
      <c r="A183" t="s">
        <v>237</v>
      </c>
      <c r="B183" s="1">
        <v>45699</v>
      </c>
      <c r="C183" t="s">
        <v>28</v>
      </c>
      <c r="D183" t="s">
        <v>41</v>
      </c>
      <c r="E183" t="s">
        <v>24</v>
      </c>
      <c r="F183" t="s">
        <v>45</v>
      </c>
      <c r="G183" t="s">
        <v>79</v>
      </c>
      <c r="H183">
        <v>2</v>
      </c>
      <c r="I183">
        <v>881.94</v>
      </c>
      <c r="J183" s="13">
        <v>0.05</v>
      </c>
      <c r="K183">
        <v>1675.68</v>
      </c>
      <c r="L183">
        <v>1261.47</v>
      </c>
      <c r="M183">
        <v>414.21</v>
      </c>
      <c r="N183" t="s">
        <v>102</v>
      </c>
    </row>
    <row r="184" spans="1:14" x14ac:dyDescent="0.3">
      <c r="A184" t="s">
        <v>238</v>
      </c>
      <c r="B184" s="1">
        <v>45824</v>
      </c>
      <c r="C184" t="s">
        <v>43</v>
      </c>
      <c r="D184" t="s">
        <v>31</v>
      </c>
      <c r="E184" t="s">
        <v>24</v>
      </c>
      <c r="F184" t="s">
        <v>18</v>
      </c>
      <c r="G184" t="s">
        <v>50</v>
      </c>
      <c r="H184">
        <v>1</v>
      </c>
      <c r="I184">
        <v>573.91999999999996</v>
      </c>
      <c r="J184" s="13">
        <v>0.05</v>
      </c>
      <c r="K184">
        <v>545.22</v>
      </c>
      <c r="L184">
        <v>399.26</v>
      </c>
      <c r="M184">
        <v>145.96</v>
      </c>
      <c r="N184" t="s">
        <v>76</v>
      </c>
    </row>
    <row r="185" spans="1:14" x14ac:dyDescent="0.3">
      <c r="A185" t="s">
        <v>239</v>
      </c>
      <c r="B185" s="1">
        <v>45926</v>
      </c>
      <c r="C185" t="s">
        <v>40</v>
      </c>
      <c r="D185" t="s">
        <v>31</v>
      </c>
      <c r="E185" t="s">
        <v>44</v>
      </c>
      <c r="F185" t="s">
        <v>45</v>
      </c>
      <c r="G185" t="s">
        <v>33</v>
      </c>
      <c r="H185">
        <v>2</v>
      </c>
      <c r="I185">
        <v>107.83</v>
      </c>
      <c r="J185" s="13">
        <v>0.03</v>
      </c>
      <c r="K185">
        <v>209.18</v>
      </c>
      <c r="L185">
        <v>151.69999999999999</v>
      </c>
      <c r="M185">
        <v>57.48</v>
      </c>
      <c r="N185" t="s">
        <v>38</v>
      </c>
    </row>
    <row r="186" spans="1:14" x14ac:dyDescent="0.3">
      <c r="A186" t="s">
        <v>240</v>
      </c>
      <c r="B186" s="1">
        <v>45715</v>
      </c>
      <c r="C186" t="s">
        <v>30</v>
      </c>
      <c r="D186" t="s">
        <v>16</v>
      </c>
      <c r="E186" t="s">
        <v>24</v>
      </c>
      <c r="F186" t="s">
        <v>18</v>
      </c>
      <c r="G186" t="s">
        <v>33</v>
      </c>
      <c r="H186">
        <v>6</v>
      </c>
      <c r="I186">
        <v>55.44</v>
      </c>
      <c r="J186" s="13">
        <v>0.05</v>
      </c>
      <c r="K186">
        <v>316.01</v>
      </c>
      <c r="L186">
        <v>228.39</v>
      </c>
      <c r="M186">
        <v>87.62</v>
      </c>
      <c r="N186" t="s">
        <v>102</v>
      </c>
    </row>
    <row r="187" spans="1:14" x14ac:dyDescent="0.3">
      <c r="A187" t="s">
        <v>241</v>
      </c>
      <c r="B187" s="1">
        <v>45957</v>
      </c>
      <c r="C187" t="s">
        <v>40</v>
      </c>
      <c r="D187" t="s">
        <v>41</v>
      </c>
      <c r="E187" t="s">
        <v>44</v>
      </c>
      <c r="F187" t="s">
        <v>18</v>
      </c>
      <c r="G187" t="s">
        <v>46</v>
      </c>
      <c r="H187">
        <v>4</v>
      </c>
      <c r="I187">
        <v>111.27</v>
      </c>
      <c r="J187" s="13">
        <v>0.05</v>
      </c>
      <c r="K187">
        <v>422.83</v>
      </c>
      <c r="L187">
        <v>263.5</v>
      </c>
      <c r="M187">
        <v>159.33000000000001</v>
      </c>
      <c r="N187" t="s">
        <v>51</v>
      </c>
    </row>
    <row r="188" spans="1:14" x14ac:dyDescent="0.3">
      <c r="A188" t="s">
        <v>242</v>
      </c>
      <c r="B188" s="1">
        <v>45669</v>
      </c>
      <c r="C188" t="s">
        <v>22</v>
      </c>
      <c r="D188" t="s">
        <v>31</v>
      </c>
      <c r="E188" t="s">
        <v>24</v>
      </c>
      <c r="F188" t="s">
        <v>32</v>
      </c>
      <c r="G188" t="s">
        <v>79</v>
      </c>
      <c r="H188">
        <v>2</v>
      </c>
      <c r="I188">
        <v>79.400000000000006</v>
      </c>
      <c r="J188" s="13">
        <v>0.03</v>
      </c>
      <c r="K188">
        <v>154.03</v>
      </c>
      <c r="L188">
        <v>118.2</v>
      </c>
      <c r="M188">
        <v>35.83</v>
      </c>
      <c r="N188" t="s">
        <v>34</v>
      </c>
    </row>
    <row r="189" spans="1:14" x14ac:dyDescent="0.3">
      <c r="A189" t="s">
        <v>243</v>
      </c>
      <c r="B189" s="1">
        <v>46017</v>
      </c>
      <c r="C189" t="s">
        <v>43</v>
      </c>
      <c r="D189" t="s">
        <v>23</v>
      </c>
      <c r="E189" t="s">
        <v>17</v>
      </c>
      <c r="F189" t="s">
        <v>45</v>
      </c>
      <c r="G189" t="s">
        <v>56</v>
      </c>
      <c r="H189">
        <v>2</v>
      </c>
      <c r="I189">
        <v>587.1</v>
      </c>
      <c r="J189" s="13">
        <v>0</v>
      </c>
      <c r="K189">
        <v>1174.19</v>
      </c>
      <c r="L189">
        <v>914.1</v>
      </c>
      <c r="M189">
        <v>260.08999999999997</v>
      </c>
      <c r="N189" t="s">
        <v>70</v>
      </c>
    </row>
    <row r="190" spans="1:14" x14ac:dyDescent="0.3">
      <c r="A190" t="s">
        <v>244</v>
      </c>
      <c r="B190" s="1">
        <v>45695</v>
      </c>
      <c r="C190" t="s">
        <v>28</v>
      </c>
      <c r="D190" t="s">
        <v>23</v>
      </c>
      <c r="E190" t="s">
        <v>17</v>
      </c>
      <c r="F190" t="s">
        <v>18</v>
      </c>
      <c r="G190" t="s">
        <v>50</v>
      </c>
      <c r="H190">
        <v>4</v>
      </c>
      <c r="I190">
        <v>903.84</v>
      </c>
      <c r="J190" s="13">
        <v>0.1</v>
      </c>
      <c r="K190">
        <v>3253.82</v>
      </c>
      <c r="L190">
        <v>2536.89</v>
      </c>
      <c r="M190">
        <v>716.93</v>
      </c>
      <c r="N190" t="s">
        <v>102</v>
      </c>
    </row>
    <row r="191" spans="1:14" x14ac:dyDescent="0.3">
      <c r="A191" t="s">
        <v>245</v>
      </c>
      <c r="B191" s="1">
        <v>45988</v>
      </c>
      <c r="C191" t="s">
        <v>30</v>
      </c>
      <c r="D191" t="s">
        <v>16</v>
      </c>
      <c r="E191" t="s">
        <v>24</v>
      </c>
      <c r="F191" t="s">
        <v>18</v>
      </c>
      <c r="G191" t="s">
        <v>33</v>
      </c>
      <c r="H191">
        <v>2</v>
      </c>
      <c r="I191">
        <v>53.26</v>
      </c>
      <c r="J191" s="13">
        <v>0.03</v>
      </c>
      <c r="K191">
        <v>103.32</v>
      </c>
      <c r="L191">
        <v>66.87</v>
      </c>
      <c r="M191">
        <v>36.450000000000003</v>
      </c>
      <c r="N191" t="s">
        <v>60</v>
      </c>
    </row>
    <row r="192" spans="1:14" x14ac:dyDescent="0.3">
      <c r="A192" t="s">
        <v>246</v>
      </c>
      <c r="B192" s="1">
        <v>45901</v>
      </c>
      <c r="C192" t="s">
        <v>48</v>
      </c>
      <c r="D192" t="s">
        <v>41</v>
      </c>
      <c r="E192" t="s">
        <v>17</v>
      </c>
      <c r="F192" t="s">
        <v>18</v>
      </c>
      <c r="G192" t="s">
        <v>25</v>
      </c>
      <c r="H192">
        <v>4</v>
      </c>
      <c r="I192">
        <v>317</v>
      </c>
      <c r="J192" s="13">
        <v>0.05</v>
      </c>
      <c r="K192">
        <v>1204.5999999999999</v>
      </c>
      <c r="L192">
        <v>879.12</v>
      </c>
      <c r="M192">
        <v>325.48</v>
      </c>
      <c r="N192" t="s">
        <v>38</v>
      </c>
    </row>
    <row r="193" spans="1:14" x14ac:dyDescent="0.3">
      <c r="A193" t="s">
        <v>247</v>
      </c>
      <c r="B193" s="1">
        <v>45993</v>
      </c>
      <c r="C193" t="s">
        <v>67</v>
      </c>
      <c r="D193" t="s">
        <v>16</v>
      </c>
      <c r="E193" t="s">
        <v>24</v>
      </c>
      <c r="F193" t="s">
        <v>18</v>
      </c>
      <c r="G193" t="s">
        <v>56</v>
      </c>
      <c r="H193">
        <v>5</v>
      </c>
      <c r="I193">
        <v>185.46</v>
      </c>
      <c r="J193" s="13">
        <v>0.1</v>
      </c>
      <c r="K193">
        <v>834.59</v>
      </c>
      <c r="L193">
        <v>687.31</v>
      </c>
      <c r="M193">
        <v>147.28</v>
      </c>
      <c r="N193" t="s">
        <v>70</v>
      </c>
    </row>
    <row r="194" spans="1:14" x14ac:dyDescent="0.3">
      <c r="A194" t="s">
        <v>248</v>
      </c>
      <c r="B194" s="1">
        <v>45923</v>
      </c>
      <c r="C194" t="s">
        <v>28</v>
      </c>
      <c r="D194" t="s">
        <v>31</v>
      </c>
      <c r="E194" t="s">
        <v>17</v>
      </c>
      <c r="F194" t="s">
        <v>18</v>
      </c>
      <c r="G194" t="s">
        <v>50</v>
      </c>
      <c r="H194">
        <v>1</v>
      </c>
      <c r="I194">
        <v>884.22</v>
      </c>
      <c r="J194" s="13">
        <v>0.15</v>
      </c>
      <c r="K194">
        <v>751.59</v>
      </c>
      <c r="L194">
        <v>614.19000000000005</v>
      </c>
      <c r="M194">
        <v>137.4</v>
      </c>
      <c r="N194" t="s">
        <v>38</v>
      </c>
    </row>
    <row r="195" spans="1:14" x14ac:dyDescent="0.3">
      <c r="A195" t="s">
        <v>249</v>
      </c>
      <c r="B195" s="1">
        <v>45682</v>
      </c>
      <c r="C195" t="s">
        <v>43</v>
      </c>
      <c r="D195" t="s">
        <v>31</v>
      </c>
      <c r="E195" t="s">
        <v>24</v>
      </c>
      <c r="F195" t="s">
        <v>18</v>
      </c>
      <c r="G195" t="s">
        <v>37</v>
      </c>
      <c r="H195">
        <v>3</v>
      </c>
      <c r="I195">
        <v>618.4</v>
      </c>
      <c r="J195" s="13">
        <v>0.1</v>
      </c>
      <c r="K195">
        <v>1669.67</v>
      </c>
      <c r="L195">
        <v>1140.8800000000001</v>
      </c>
      <c r="M195">
        <v>528.79</v>
      </c>
      <c r="N195" t="s">
        <v>34</v>
      </c>
    </row>
    <row r="196" spans="1:14" x14ac:dyDescent="0.3">
      <c r="A196" t="s">
        <v>250</v>
      </c>
      <c r="B196" s="1">
        <v>45749</v>
      </c>
      <c r="C196" t="s">
        <v>104</v>
      </c>
      <c r="D196" t="s">
        <v>31</v>
      </c>
      <c r="E196" t="s">
        <v>44</v>
      </c>
      <c r="F196" t="s">
        <v>32</v>
      </c>
      <c r="G196" t="s">
        <v>56</v>
      </c>
      <c r="H196">
        <v>1</v>
      </c>
      <c r="I196">
        <v>89.92</v>
      </c>
      <c r="J196" s="13">
        <v>0.1</v>
      </c>
      <c r="K196">
        <v>80.930000000000007</v>
      </c>
      <c r="L196">
        <v>54.35</v>
      </c>
      <c r="M196">
        <v>26.58</v>
      </c>
      <c r="N196" t="s">
        <v>63</v>
      </c>
    </row>
    <row r="197" spans="1:14" x14ac:dyDescent="0.3">
      <c r="A197" t="s">
        <v>251</v>
      </c>
      <c r="B197" s="1">
        <v>45944</v>
      </c>
      <c r="C197" t="s">
        <v>69</v>
      </c>
      <c r="D197" t="s">
        <v>16</v>
      </c>
      <c r="E197" t="s">
        <v>17</v>
      </c>
      <c r="F197" t="s">
        <v>18</v>
      </c>
      <c r="G197" t="s">
        <v>50</v>
      </c>
      <c r="H197">
        <v>1</v>
      </c>
      <c r="I197">
        <v>287.89</v>
      </c>
      <c r="J197" s="13">
        <v>0.05</v>
      </c>
      <c r="K197">
        <v>273.49</v>
      </c>
      <c r="L197">
        <v>204.41</v>
      </c>
      <c r="M197">
        <v>69.08</v>
      </c>
      <c r="N197" t="s">
        <v>51</v>
      </c>
    </row>
    <row r="198" spans="1:14" x14ac:dyDescent="0.3">
      <c r="A198" t="s">
        <v>252</v>
      </c>
      <c r="B198" s="1">
        <v>45740</v>
      </c>
      <c r="C198" t="s">
        <v>28</v>
      </c>
      <c r="D198" t="s">
        <v>23</v>
      </c>
      <c r="E198" t="s">
        <v>24</v>
      </c>
      <c r="F198" t="s">
        <v>18</v>
      </c>
      <c r="G198" t="s">
        <v>25</v>
      </c>
      <c r="H198">
        <v>1</v>
      </c>
      <c r="I198">
        <v>1044.02</v>
      </c>
      <c r="J198" s="13">
        <v>0.05</v>
      </c>
      <c r="K198">
        <v>991.82</v>
      </c>
      <c r="L198">
        <v>810.93</v>
      </c>
      <c r="M198">
        <v>180.89</v>
      </c>
      <c r="N198" t="s">
        <v>53</v>
      </c>
    </row>
    <row r="199" spans="1:14" x14ac:dyDescent="0.3">
      <c r="A199" t="s">
        <v>253</v>
      </c>
      <c r="B199" s="1">
        <v>45697</v>
      </c>
      <c r="C199" t="s">
        <v>59</v>
      </c>
      <c r="D199" t="s">
        <v>31</v>
      </c>
      <c r="E199" t="s">
        <v>24</v>
      </c>
      <c r="F199" t="s">
        <v>18</v>
      </c>
      <c r="G199" t="s">
        <v>56</v>
      </c>
      <c r="H199">
        <v>4</v>
      </c>
      <c r="I199">
        <v>29.94</v>
      </c>
      <c r="J199" s="13">
        <v>0.05</v>
      </c>
      <c r="K199">
        <v>113.76</v>
      </c>
      <c r="L199">
        <v>84.62</v>
      </c>
      <c r="M199">
        <v>29.14</v>
      </c>
      <c r="N199" t="s">
        <v>102</v>
      </c>
    </row>
    <row r="200" spans="1:14" x14ac:dyDescent="0.3">
      <c r="A200" t="s">
        <v>254</v>
      </c>
      <c r="B200" s="1">
        <v>45719</v>
      </c>
      <c r="C200" t="s">
        <v>40</v>
      </c>
      <c r="D200" t="s">
        <v>23</v>
      </c>
      <c r="E200" t="s">
        <v>24</v>
      </c>
      <c r="F200" t="s">
        <v>18</v>
      </c>
      <c r="G200" t="s">
        <v>33</v>
      </c>
      <c r="H200">
        <v>2</v>
      </c>
      <c r="I200">
        <v>110.59</v>
      </c>
      <c r="J200" s="13">
        <v>0</v>
      </c>
      <c r="K200">
        <v>221.19</v>
      </c>
      <c r="L200">
        <v>167.51</v>
      </c>
      <c r="M200">
        <v>53.68</v>
      </c>
      <c r="N200" t="s">
        <v>53</v>
      </c>
    </row>
    <row r="201" spans="1:14" x14ac:dyDescent="0.3">
      <c r="A201" t="s">
        <v>255</v>
      </c>
      <c r="B201" s="1">
        <v>45719</v>
      </c>
      <c r="C201" t="s">
        <v>104</v>
      </c>
      <c r="D201" t="s">
        <v>23</v>
      </c>
      <c r="E201" t="s">
        <v>24</v>
      </c>
      <c r="F201" t="s">
        <v>45</v>
      </c>
      <c r="G201" t="s">
        <v>56</v>
      </c>
      <c r="H201">
        <v>2</v>
      </c>
      <c r="I201">
        <v>88.86</v>
      </c>
      <c r="J201" s="13">
        <v>0.15</v>
      </c>
      <c r="K201">
        <v>151.06</v>
      </c>
      <c r="L201">
        <v>111.91</v>
      </c>
      <c r="M201">
        <v>39.15</v>
      </c>
      <c r="N201" t="s">
        <v>53</v>
      </c>
    </row>
    <row r="202" spans="1:14" x14ac:dyDescent="0.3">
      <c r="A202" t="s">
        <v>256</v>
      </c>
      <c r="B202" s="1">
        <v>45899</v>
      </c>
      <c r="C202" t="s">
        <v>67</v>
      </c>
      <c r="D202" t="s">
        <v>31</v>
      </c>
      <c r="E202" t="s">
        <v>44</v>
      </c>
      <c r="F202" t="s">
        <v>45</v>
      </c>
      <c r="G202" t="s">
        <v>56</v>
      </c>
      <c r="H202">
        <v>3</v>
      </c>
      <c r="I202">
        <v>176.21</v>
      </c>
      <c r="J202" s="13">
        <v>0</v>
      </c>
      <c r="K202">
        <v>528.63</v>
      </c>
      <c r="L202">
        <v>307.89</v>
      </c>
      <c r="M202">
        <v>220.74</v>
      </c>
      <c r="N202" t="s">
        <v>20</v>
      </c>
    </row>
    <row r="203" spans="1:14" x14ac:dyDescent="0.3">
      <c r="A203" t="s">
        <v>257</v>
      </c>
      <c r="B203" s="1">
        <v>45913</v>
      </c>
      <c r="C203" t="s">
        <v>28</v>
      </c>
      <c r="D203" t="s">
        <v>16</v>
      </c>
      <c r="E203" t="s">
        <v>24</v>
      </c>
      <c r="F203" t="s">
        <v>18</v>
      </c>
      <c r="G203" t="s">
        <v>37</v>
      </c>
      <c r="H203">
        <v>2</v>
      </c>
      <c r="I203">
        <v>925.57</v>
      </c>
      <c r="J203" s="13">
        <v>0.05</v>
      </c>
      <c r="K203">
        <v>1758.58</v>
      </c>
      <c r="L203">
        <v>1258.53</v>
      </c>
      <c r="M203">
        <v>500.05</v>
      </c>
      <c r="N203" t="s">
        <v>38</v>
      </c>
    </row>
    <row r="204" spans="1:14" x14ac:dyDescent="0.3">
      <c r="A204" t="s">
        <v>258</v>
      </c>
      <c r="B204" s="1">
        <v>45699</v>
      </c>
      <c r="C204" t="s">
        <v>59</v>
      </c>
      <c r="D204" t="s">
        <v>31</v>
      </c>
      <c r="E204" t="s">
        <v>44</v>
      </c>
      <c r="F204" t="s">
        <v>18</v>
      </c>
      <c r="G204" t="s">
        <v>19</v>
      </c>
      <c r="H204">
        <v>3</v>
      </c>
      <c r="I204">
        <v>33.520000000000003</v>
      </c>
      <c r="J204" s="13">
        <v>0.03</v>
      </c>
      <c r="K204">
        <v>97.54</v>
      </c>
      <c r="L204">
        <v>66.260000000000005</v>
      </c>
      <c r="M204">
        <v>31.28</v>
      </c>
      <c r="N204" t="s">
        <v>102</v>
      </c>
    </row>
    <row r="205" spans="1:14" x14ac:dyDescent="0.3">
      <c r="A205" t="s">
        <v>259</v>
      </c>
      <c r="B205" s="1">
        <v>45667</v>
      </c>
      <c r="C205" t="s">
        <v>67</v>
      </c>
      <c r="D205" t="s">
        <v>41</v>
      </c>
      <c r="E205" t="s">
        <v>24</v>
      </c>
      <c r="F205" t="s">
        <v>32</v>
      </c>
      <c r="G205" t="s">
        <v>56</v>
      </c>
      <c r="H205">
        <v>4</v>
      </c>
      <c r="I205">
        <v>182.99</v>
      </c>
      <c r="J205" s="13">
        <v>0.03</v>
      </c>
      <c r="K205">
        <v>709.98</v>
      </c>
      <c r="L205">
        <v>461.81</v>
      </c>
      <c r="M205">
        <v>248.17</v>
      </c>
      <c r="N205" t="s">
        <v>34</v>
      </c>
    </row>
    <row r="206" spans="1:14" x14ac:dyDescent="0.3">
      <c r="A206" t="s">
        <v>260</v>
      </c>
      <c r="B206" s="1">
        <v>46000</v>
      </c>
      <c r="C206" t="s">
        <v>67</v>
      </c>
      <c r="D206" t="s">
        <v>23</v>
      </c>
      <c r="E206" t="s">
        <v>44</v>
      </c>
      <c r="F206" t="s">
        <v>18</v>
      </c>
      <c r="G206" t="s">
        <v>33</v>
      </c>
      <c r="H206">
        <v>2</v>
      </c>
      <c r="I206">
        <v>189.83</v>
      </c>
      <c r="J206" s="13">
        <v>0.3</v>
      </c>
      <c r="K206">
        <v>360.67</v>
      </c>
      <c r="L206">
        <v>237.43</v>
      </c>
      <c r="M206">
        <v>123.24</v>
      </c>
      <c r="N206" t="s">
        <v>70</v>
      </c>
    </row>
    <row r="207" spans="1:14" x14ac:dyDescent="0.3">
      <c r="A207" t="s">
        <v>261</v>
      </c>
      <c r="B207" s="1">
        <v>45766</v>
      </c>
      <c r="C207" t="s">
        <v>104</v>
      </c>
      <c r="D207" t="s">
        <v>16</v>
      </c>
      <c r="E207" t="s">
        <v>24</v>
      </c>
      <c r="F207" t="s">
        <v>18</v>
      </c>
      <c r="G207" t="s">
        <v>56</v>
      </c>
      <c r="H207">
        <v>1</v>
      </c>
      <c r="I207">
        <v>98.42</v>
      </c>
      <c r="J207" s="13">
        <v>0</v>
      </c>
      <c r="K207">
        <v>98.42</v>
      </c>
      <c r="L207">
        <v>71.19</v>
      </c>
      <c r="M207">
        <v>27.23</v>
      </c>
      <c r="N207" t="s">
        <v>63</v>
      </c>
    </row>
    <row r="208" spans="1:14" x14ac:dyDescent="0.3">
      <c r="A208" t="s">
        <v>262</v>
      </c>
      <c r="B208" s="1">
        <v>45868</v>
      </c>
      <c r="C208" t="s">
        <v>104</v>
      </c>
      <c r="D208" t="s">
        <v>16</v>
      </c>
      <c r="E208" t="s">
        <v>17</v>
      </c>
      <c r="F208" t="s">
        <v>18</v>
      </c>
      <c r="G208" t="s">
        <v>37</v>
      </c>
      <c r="H208">
        <v>2</v>
      </c>
      <c r="I208">
        <v>92.86</v>
      </c>
      <c r="J208" s="13">
        <v>0.15</v>
      </c>
      <c r="K208">
        <v>157.87</v>
      </c>
      <c r="L208">
        <v>143.78</v>
      </c>
      <c r="M208">
        <v>14.09</v>
      </c>
      <c r="N208" t="s">
        <v>26</v>
      </c>
    </row>
    <row r="209" spans="1:14" x14ac:dyDescent="0.3">
      <c r="A209" t="s">
        <v>263</v>
      </c>
      <c r="B209" s="1">
        <v>45877</v>
      </c>
      <c r="C209" t="s">
        <v>28</v>
      </c>
      <c r="D209" t="s">
        <v>31</v>
      </c>
      <c r="E209" t="s">
        <v>24</v>
      </c>
      <c r="F209" t="s">
        <v>45</v>
      </c>
      <c r="G209" t="s">
        <v>50</v>
      </c>
      <c r="H209">
        <v>4</v>
      </c>
      <c r="I209">
        <v>980.46</v>
      </c>
      <c r="J209" s="13">
        <v>0.03</v>
      </c>
      <c r="K209">
        <v>3804.18</v>
      </c>
      <c r="L209">
        <v>2291.09</v>
      </c>
      <c r="M209">
        <v>1513.09</v>
      </c>
      <c r="N209" t="s">
        <v>20</v>
      </c>
    </row>
    <row r="210" spans="1:14" x14ac:dyDescent="0.3">
      <c r="A210" t="s">
        <v>264</v>
      </c>
      <c r="B210" s="1">
        <v>45762</v>
      </c>
      <c r="C210" t="s">
        <v>43</v>
      </c>
      <c r="D210" t="s">
        <v>31</v>
      </c>
      <c r="E210" t="s">
        <v>44</v>
      </c>
      <c r="F210" t="s">
        <v>18</v>
      </c>
      <c r="G210" t="s">
        <v>46</v>
      </c>
      <c r="H210">
        <v>1</v>
      </c>
      <c r="I210">
        <v>640.75</v>
      </c>
      <c r="J210" s="13">
        <v>0.3</v>
      </c>
      <c r="K210">
        <v>621.53</v>
      </c>
      <c r="L210">
        <v>405.05</v>
      </c>
      <c r="M210">
        <v>216.48</v>
      </c>
      <c r="N210" t="s">
        <v>63</v>
      </c>
    </row>
    <row r="211" spans="1:14" x14ac:dyDescent="0.3">
      <c r="A211" t="s">
        <v>265</v>
      </c>
      <c r="B211" s="1">
        <v>45838</v>
      </c>
      <c r="C211" t="s">
        <v>43</v>
      </c>
      <c r="D211" t="s">
        <v>23</v>
      </c>
      <c r="E211" t="s">
        <v>17</v>
      </c>
      <c r="F211" t="s">
        <v>45</v>
      </c>
      <c r="G211" t="s">
        <v>33</v>
      </c>
      <c r="H211">
        <v>2</v>
      </c>
      <c r="I211">
        <v>657.04</v>
      </c>
      <c r="J211" s="13">
        <v>0.15</v>
      </c>
      <c r="K211">
        <v>1116.97</v>
      </c>
      <c r="L211">
        <v>920.35</v>
      </c>
      <c r="M211">
        <v>196.62</v>
      </c>
      <c r="N211" t="s">
        <v>76</v>
      </c>
    </row>
    <row r="212" spans="1:14" x14ac:dyDescent="0.3">
      <c r="A212" t="s">
        <v>266</v>
      </c>
      <c r="B212" s="1">
        <v>45972</v>
      </c>
      <c r="C212" t="s">
        <v>69</v>
      </c>
      <c r="D212" t="s">
        <v>41</v>
      </c>
      <c r="E212" t="s">
        <v>24</v>
      </c>
      <c r="F212" t="s">
        <v>45</v>
      </c>
      <c r="G212" t="s">
        <v>25</v>
      </c>
      <c r="H212">
        <v>1</v>
      </c>
      <c r="I212">
        <v>254.45</v>
      </c>
      <c r="J212" s="13">
        <v>0.05</v>
      </c>
      <c r="K212">
        <v>241.73</v>
      </c>
      <c r="L212">
        <v>152.41999999999999</v>
      </c>
      <c r="M212">
        <v>89.31</v>
      </c>
      <c r="N212" t="s">
        <v>60</v>
      </c>
    </row>
    <row r="213" spans="1:14" x14ac:dyDescent="0.3">
      <c r="A213" t="s">
        <v>267</v>
      </c>
      <c r="B213" s="1">
        <v>45779</v>
      </c>
      <c r="C213" t="s">
        <v>59</v>
      </c>
      <c r="D213" t="s">
        <v>23</v>
      </c>
      <c r="E213" t="s">
        <v>24</v>
      </c>
      <c r="F213" t="s">
        <v>32</v>
      </c>
      <c r="G213" t="s">
        <v>33</v>
      </c>
      <c r="H213">
        <v>4</v>
      </c>
      <c r="I213">
        <v>34.74</v>
      </c>
      <c r="J213" s="13">
        <v>0.05</v>
      </c>
      <c r="K213">
        <v>132.02000000000001</v>
      </c>
      <c r="L213">
        <v>80.95</v>
      </c>
      <c r="M213">
        <v>51.07</v>
      </c>
      <c r="N213" t="s">
        <v>72</v>
      </c>
    </row>
    <row r="214" spans="1:14" x14ac:dyDescent="0.3">
      <c r="A214" t="s">
        <v>268</v>
      </c>
      <c r="B214" s="1">
        <v>46017</v>
      </c>
      <c r="C214" t="s">
        <v>43</v>
      </c>
      <c r="D214" t="s">
        <v>41</v>
      </c>
      <c r="E214" t="s">
        <v>17</v>
      </c>
      <c r="F214" t="s">
        <v>45</v>
      </c>
      <c r="G214" t="s">
        <v>79</v>
      </c>
      <c r="H214">
        <v>4</v>
      </c>
      <c r="I214">
        <v>589.28</v>
      </c>
      <c r="J214" s="13">
        <v>0.05</v>
      </c>
      <c r="K214">
        <v>2239.2600000000002</v>
      </c>
      <c r="L214">
        <v>1764.06</v>
      </c>
      <c r="M214">
        <v>475.2</v>
      </c>
      <c r="N214" t="s">
        <v>70</v>
      </c>
    </row>
    <row r="215" spans="1:14" x14ac:dyDescent="0.3">
      <c r="A215" t="s">
        <v>269</v>
      </c>
      <c r="B215" s="1">
        <v>45915</v>
      </c>
      <c r="C215" t="s">
        <v>59</v>
      </c>
      <c r="D215" t="s">
        <v>31</v>
      </c>
      <c r="E215" t="s">
        <v>17</v>
      </c>
      <c r="F215" t="s">
        <v>18</v>
      </c>
      <c r="G215" t="s">
        <v>37</v>
      </c>
      <c r="H215">
        <v>2</v>
      </c>
      <c r="I215">
        <v>33.619999999999997</v>
      </c>
      <c r="J215" s="13">
        <v>0.05</v>
      </c>
      <c r="K215">
        <v>63.88</v>
      </c>
      <c r="L215">
        <v>48.79</v>
      </c>
      <c r="M215">
        <v>15.09</v>
      </c>
      <c r="N215" t="s">
        <v>38</v>
      </c>
    </row>
    <row r="216" spans="1:14" x14ac:dyDescent="0.3">
      <c r="A216" t="s">
        <v>270</v>
      </c>
      <c r="B216" s="1">
        <v>45846</v>
      </c>
      <c r="C216" t="s">
        <v>30</v>
      </c>
      <c r="D216" t="s">
        <v>31</v>
      </c>
      <c r="E216" t="s">
        <v>17</v>
      </c>
      <c r="F216" t="s">
        <v>18</v>
      </c>
      <c r="G216" t="s">
        <v>79</v>
      </c>
      <c r="H216">
        <v>5</v>
      </c>
      <c r="I216">
        <v>55.06</v>
      </c>
      <c r="J216" s="13">
        <v>0.05</v>
      </c>
      <c r="K216">
        <v>261.56</v>
      </c>
      <c r="L216">
        <v>189.54</v>
      </c>
      <c r="M216">
        <v>72.02</v>
      </c>
      <c r="N216" t="s">
        <v>26</v>
      </c>
    </row>
    <row r="217" spans="1:14" x14ac:dyDescent="0.3">
      <c r="A217" t="s">
        <v>271</v>
      </c>
      <c r="B217" s="1">
        <v>45793</v>
      </c>
      <c r="C217" t="s">
        <v>69</v>
      </c>
      <c r="D217" t="s">
        <v>41</v>
      </c>
      <c r="E217" t="s">
        <v>17</v>
      </c>
      <c r="F217" t="s">
        <v>45</v>
      </c>
      <c r="G217" t="s">
        <v>33</v>
      </c>
      <c r="H217">
        <v>3</v>
      </c>
      <c r="I217">
        <v>257.25</v>
      </c>
      <c r="J217" s="13">
        <v>0.1</v>
      </c>
      <c r="K217">
        <v>694.58</v>
      </c>
      <c r="L217">
        <v>514.57000000000005</v>
      </c>
      <c r="M217">
        <v>180.01</v>
      </c>
      <c r="N217" t="s">
        <v>72</v>
      </c>
    </row>
    <row r="218" spans="1:14" x14ac:dyDescent="0.3">
      <c r="A218" t="s">
        <v>272</v>
      </c>
      <c r="B218" s="1">
        <v>45667</v>
      </c>
      <c r="C218" t="s">
        <v>22</v>
      </c>
      <c r="D218" t="s">
        <v>31</v>
      </c>
      <c r="E218" t="s">
        <v>17</v>
      </c>
      <c r="F218" t="s">
        <v>45</v>
      </c>
      <c r="G218" t="s">
        <v>79</v>
      </c>
      <c r="H218">
        <v>1</v>
      </c>
      <c r="I218">
        <v>93.36</v>
      </c>
      <c r="J218" s="13">
        <v>0.03</v>
      </c>
      <c r="K218">
        <v>90.56</v>
      </c>
      <c r="L218">
        <v>69.09</v>
      </c>
      <c r="M218">
        <v>21.47</v>
      </c>
      <c r="N218" t="s">
        <v>34</v>
      </c>
    </row>
    <row r="219" spans="1:14" x14ac:dyDescent="0.3">
      <c r="A219" t="s">
        <v>273</v>
      </c>
      <c r="B219" s="1">
        <v>45971</v>
      </c>
      <c r="C219" t="s">
        <v>22</v>
      </c>
      <c r="D219" t="s">
        <v>41</v>
      </c>
      <c r="E219" t="s">
        <v>44</v>
      </c>
      <c r="F219" t="s">
        <v>18</v>
      </c>
      <c r="G219" t="s">
        <v>50</v>
      </c>
      <c r="H219">
        <v>3</v>
      </c>
      <c r="I219">
        <v>82.88</v>
      </c>
      <c r="J219" s="13">
        <v>0.05</v>
      </c>
      <c r="K219">
        <v>236.21</v>
      </c>
      <c r="L219">
        <v>186.38</v>
      </c>
      <c r="M219">
        <v>49.83</v>
      </c>
      <c r="N219" t="s">
        <v>60</v>
      </c>
    </row>
    <row r="220" spans="1:14" x14ac:dyDescent="0.3">
      <c r="A220" t="s">
        <v>274</v>
      </c>
      <c r="B220" s="1">
        <v>45969</v>
      </c>
      <c r="C220" t="s">
        <v>43</v>
      </c>
      <c r="D220" t="s">
        <v>16</v>
      </c>
      <c r="E220" t="s">
        <v>44</v>
      </c>
      <c r="F220" t="s">
        <v>18</v>
      </c>
      <c r="G220" t="s">
        <v>56</v>
      </c>
      <c r="H220">
        <v>2</v>
      </c>
      <c r="I220">
        <v>603.62</v>
      </c>
      <c r="J220" s="13">
        <v>0</v>
      </c>
      <c r="K220">
        <v>1207.25</v>
      </c>
      <c r="L220">
        <v>773.99</v>
      </c>
      <c r="M220">
        <v>433.26</v>
      </c>
      <c r="N220" t="s">
        <v>60</v>
      </c>
    </row>
    <row r="221" spans="1:14" x14ac:dyDescent="0.3">
      <c r="A221" t="s">
        <v>275</v>
      </c>
      <c r="B221" s="1">
        <v>45967</v>
      </c>
      <c r="C221" t="s">
        <v>40</v>
      </c>
      <c r="D221" t="s">
        <v>23</v>
      </c>
      <c r="E221" t="s">
        <v>24</v>
      </c>
      <c r="F221" t="s">
        <v>18</v>
      </c>
      <c r="G221" t="s">
        <v>25</v>
      </c>
      <c r="H221">
        <v>1</v>
      </c>
      <c r="I221">
        <v>116.17</v>
      </c>
      <c r="J221" s="13">
        <v>0</v>
      </c>
      <c r="K221">
        <v>116.17</v>
      </c>
      <c r="L221">
        <v>82.78</v>
      </c>
      <c r="M221">
        <v>33.39</v>
      </c>
      <c r="N221" t="s">
        <v>60</v>
      </c>
    </row>
    <row r="222" spans="1:14" x14ac:dyDescent="0.3">
      <c r="A222" t="s">
        <v>276</v>
      </c>
      <c r="B222" s="1">
        <v>45671</v>
      </c>
      <c r="C222" t="s">
        <v>59</v>
      </c>
      <c r="D222" t="s">
        <v>16</v>
      </c>
      <c r="E222" t="s">
        <v>24</v>
      </c>
      <c r="F222" t="s">
        <v>45</v>
      </c>
      <c r="G222" t="s">
        <v>46</v>
      </c>
      <c r="H222">
        <v>1</v>
      </c>
      <c r="I222">
        <v>33.880000000000003</v>
      </c>
      <c r="J222" s="13">
        <v>0.05</v>
      </c>
      <c r="K222">
        <v>32.19</v>
      </c>
      <c r="L222">
        <v>22.91</v>
      </c>
      <c r="M222">
        <v>9.2799999999999994</v>
      </c>
      <c r="N222" t="s">
        <v>34</v>
      </c>
    </row>
    <row r="223" spans="1:14" x14ac:dyDescent="0.3">
      <c r="A223" t="s">
        <v>277</v>
      </c>
      <c r="B223" s="1">
        <v>45845</v>
      </c>
      <c r="C223" t="s">
        <v>22</v>
      </c>
      <c r="D223" t="s">
        <v>23</v>
      </c>
      <c r="E223" t="s">
        <v>24</v>
      </c>
      <c r="F223" t="s">
        <v>45</v>
      </c>
      <c r="G223" t="s">
        <v>79</v>
      </c>
      <c r="H223">
        <v>3</v>
      </c>
      <c r="I223">
        <v>77.400000000000006</v>
      </c>
      <c r="J223" s="13">
        <v>0.05</v>
      </c>
      <c r="K223">
        <v>220.58</v>
      </c>
      <c r="L223">
        <v>162.63</v>
      </c>
      <c r="M223">
        <v>57.95</v>
      </c>
      <c r="N223" t="s">
        <v>26</v>
      </c>
    </row>
    <row r="224" spans="1:14" x14ac:dyDescent="0.3">
      <c r="A224" t="s">
        <v>278</v>
      </c>
      <c r="B224" s="1">
        <v>45849</v>
      </c>
      <c r="C224" t="s">
        <v>28</v>
      </c>
      <c r="D224" t="s">
        <v>16</v>
      </c>
      <c r="E224" t="s">
        <v>24</v>
      </c>
      <c r="F224" t="s">
        <v>18</v>
      </c>
      <c r="G224" t="s">
        <v>46</v>
      </c>
      <c r="H224">
        <v>4</v>
      </c>
      <c r="I224">
        <v>918.51</v>
      </c>
      <c r="J224" s="13">
        <v>0.05</v>
      </c>
      <c r="K224">
        <v>3490.32</v>
      </c>
      <c r="L224">
        <v>2710.41</v>
      </c>
      <c r="M224">
        <v>779.91</v>
      </c>
      <c r="N224" t="s">
        <v>26</v>
      </c>
    </row>
    <row r="225" spans="1:14" x14ac:dyDescent="0.3">
      <c r="A225" t="s">
        <v>279</v>
      </c>
      <c r="B225" s="1">
        <v>45960</v>
      </c>
      <c r="C225" t="s">
        <v>22</v>
      </c>
      <c r="D225" t="s">
        <v>16</v>
      </c>
      <c r="E225" t="s">
        <v>17</v>
      </c>
      <c r="F225" t="s">
        <v>18</v>
      </c>
      <c r="G225" t="s">
        <v>50</v>
      </c>
      <c r="H225">
        <v>2</v>
      </c>
      <c r="I225">
        <v>80.510000000000005</v>
      </c>
      <c r="J225" s="13">
        <v>0</v>
      </c>
      <c r="K225">
        <v>161.02000000000001</v>
      </c>
      <c r="L225">
        <v>119.2</v>
      </c>
      <c r="M225">
        <v>41.82</v>
      </c>
      <c r="N225" t="s">
        <v>51</v>
      </c>
    </row>
    <row r="226" spans="1:14" x14ac:dyDescent="0.3">
      <c r="A226" t="s">
        <v>280</v>
      </c>
      <c r="B226" s="1">
        <v>45735</v>
      </c>
      <c r="C226" t="s">
        <v>15</v>
      </c>
      <c r="D226" t="s">
        <v>23</v>
      </c>
      <c r="E226" t="s">
        <v>24</v>
      </c>
      <c r="F226" t="s">
        <v>45</v>
      </c>
      <c r="G226" t="s">
        <v>19</v>
      </c>
      <c r="H226">
        <v>4</v>
      </c>
      <c r="I226">
        <v>77.040000000000006</v>
      </c>
      <c r="J226" s="13">
        <v>0</v>
      </c>
      <c r="K226">
        <v>308.17</v>
      </c>
      <c r="L226">
        <v>204</v>
      </c>
      <c r="M226">
        <v>104.17</v>
      </c>
      <c r="N226" t="s">
        <v>53</v>
      </c>
    </row>
    <row r="227" spans="1:14" x14ac:dyDescent="0.3">
      <c r="A227" t="s">
        <v>281</v>
      </c>
      <c r="B227" s="1">
        <v>46007</v>
      </c>
      <c r="C227" t="s">
        <v>30</v>
      </c>
      <c r="D227" t="s">
        <v>41</v>
      </c>
      <c r="E227" t="s">
        <v>17</v>
      </c>
      <c r="F227" t="s">
        <v>45</v>
      </c>
      <c r="G227" t="s">
        <v>79</v>
      </c>
      <c r="H227">
        <v>7</v>
      </c>
      <c r="I227">
        <v>55.72</v>
      </c>
      <c r="J227" s="13">
        <v>0</v>
      </c>
      <c r="K227">
        <v>390.05</v>
      </c>
      <c r="L227">
        <v>280.85000000000002</v>
      </c>
      <c r="M227">
        <v>109.2</v>
      </c>
      <c r="N227" t="s">
        <v>70</v>
      </c>
    </row>
    <row r="228" spans="1:14" x14ac:dyDescent="0.3">
      <c r="A228" t="s">
        <v>282</v>
      </c>
      <c r="B228" s="1">
        <v>46006</v>
      </c>
      <c r="C228" t="s">
        <v>59</v>
      </c>
      <c r="D228" t="s">
        <v>23</v>
      </c>
      <c r="E228" t="s">
        <v>24</v>
      </c>
      <c r="F228" t="s">
        <v>45</v>
      </c>
      <c r="G228" t="s">
        <v>37</v>
      </c>
      <c r="H228">
        <v>2</v>
      </c>
      <c r="I228">
        <v>34.82</v>
      </c>
      <c r="J228" s="13">
        <v>0.03</v>
      </c>
      <c r="K228">
        <v>67.55</v>
      </c>
      <c r="L228">
        <v>52.55</v>
      </c>
      <c r="M228">
        <v>15</v>
      </c>
      <c r="N228" t="s">
        <v>70</v>
      </c>
    </row>
    <row r="229" spans="1:14" x14ac:dyDescent="0.3">
      <c r="A229" t="s">
        <v>283</v>
      </c>
      <c r="B229" s="1">
        <v>45786</v>
      </c>
      <c r="C229" t="s">
        <v>43</v>
      </c>
      <c r="D229" t="s">
        <v>23</v>
      </c>
      <c r="E229" t="s">
        <v>17</v>
      </c>
      <c r="F229" t="s">
        <v>45</v>
      </c>
      <c r="G229" t="s">
        <v>25</v>
      </c>
      <c r="H229">
        <v>3</v>
      </c>
      <c r="I229">
        <v>645.54999999999995</v>
      </c>
      <c r="J229" s="13">
        <v>0</v>
      </c>
      <c r="K229">
        <v>1936.64</v>
      </c>
      <c r="L229">
        <v>1473.36</v>
      </c>
      <c r="M229">
        <v>463.28</v>
      </c>
      <c r="N229" t="s">
        <v>72</v>
      </c>
    </row>
    <row r="230" spans="1:14" x14ac:dyDescent="0.3">
      <c r="A230" t="s">
        <v>284</v>
      </c>
      <c r="B230" s="1">
        <v>45870</v>
      </c>
      <c r="C230" t="s">
        <v>30</v>
      </c>
      <c r="D230" t="s">
        <v>41</v>
      </c>
      <c r="E230" t="s">
        <v>24</v>
      </c>
      <c r="F230" t="s">
        <v>18</v>
      </c>
      <c r="G230" t="s">
        <v>25</v>
      </c>
      <c r="H230">
        <v>2</v>
      </c>
      <c r="I230">
        <v>50.94</v>
      </c>
      <c r="J230" s="13">
        <v>0.1</v>
      </c>
      <c r="K230">
        <v>91.7</v>
      </c>
      <c r="L230">
        <v>68.72</v>
      </c>
      <c r="M230">
        <v>22.98</v>
      </c>
      <c r="N230" t="s">
        <v>20</v>
      </c>
    </row>
    <row r="231" spans="1:14" x14ac:dyDescent="0.3">
      <c r="A231" t="s">
        <v>285</v>
      </c>
      <c r="B231" s="1">
        <v>45839</v>
      </c>
      <c r="C231" t="s">
        <v>30</v>
      </c>
      <c r="D231" t="s">
        <v>16</v>
      </c>
      <c r="E231" t="s">
        <v>24</v>
      </c>
      <c r="F231" t="s">
        <v>45</v>
      </c>
      <c r="G231" t="s">
        <v>33</v>
      </c>
      <c r="H231">
        <v>6</v>
      </c>
      <c r="I231">
        <v>52.22</v>
      </c>
      <c r="J231" s="13">
        <v>0</v>
      </c>
      <c r="K231">
        <v>313.3</v>
      </c>
      <c r="L231">
        <v>198.75</v>
      </c>
      <c r="M231">
        <v>114.55</v>
      </c>
      <c r="N231" t="s">
        <v>26</v>
      </c>
    </row>
    <row r="232" spans="1:14" x14ac:dyDescent="0.3">
      <c r="A232" t="s">
        <v>286</v>
      </c>
      <c r="B232" s="1">
        <v>45678</v>
      </c>
      <c r="C232" t="s">
        <v>69</v>
      </c>
      <c r="D232" t="s">
        <v>23</v>
      </c>
      <c r="E232" t="s">
        <v>24</v>
      </c>
      <c r="F232" t="s">
        <v>45</v>
      </c>
      <c r="G232" t="s">
        <v>25</v>
      </c>
      <c r="H232">
        <v>1</v>
      </c>
      <c r="I232">
        <v>299.77</v>
      </c>
      <c r="J232" s="13">
        <v>0.05</v>
      </c>
      <c r="K232">
        <v>284.77999999999997</v>
      </c>
      <c r="L232">
        <v>207.56</v>
      </c>
      <c r="M232">
        <v>77.22</v>
      </c>
      <c r="N232" t="s">
        <v>34</v>
      </c>
    </row>
    <row r="233" spans="1:14" x14ac:dyDescent="0.3">
      <c r="A233" t="s">
        <v>287</v>
      </c>
      <c r="B233" s="1">
        <v>45856</v>
      </c>
      <c r="C233" t="s">
        <v>48</v>
      </c>
      <c r="D233" t="s">
        <v>31</v>
      </c>
      <c r="E233" t="s">
        <v>24</v>
      </c>
      <c r="F233" t="s">
        <v>18</v>
      </c>
      <c r="G233" t="s">
        <v>19</v>
      </c>
      <c r="H233">
        <v>4</v>
      </c>
      <c r="I233">
        <v>307.48</v>
      </c>
      <c r="J233" s="13">
        <v>0.15</v>
      </c>
      <c r="K233">
        <v>1045.45</v>
      </c>
      <c r="L233">
        <v>851.16</v>
      </c>
      <c r="M233">
        <v>194.29</v>
      </c>
      <c r="N233" t="s">
        <v>26</v>
      </c>
    </row>
    <row r="234" spans="1:14" x14ac:dyDescent="0.3">
      <c r="A234" t="s">
        <v>288</v>
      </c>
      <c r="B234" s="1">
        <v>45962</v>
      </c>
      <c r="C234" t="s">
        <v>40</v>
      </c>
      <c r="D234" t="s">
        <v>16</v>
      </c>
      <c r="E234" t="s">
        <v>24</v>
      </c>
      <c r="F234" t="s">
        <v>32</v>
      </c>
      <c r="G234" t="s">
        <v>33</v>
      </c>
      <c r="H234">
        <v>7</v>
      </c>
      <c r="I234">
        <v>109.88</v>
      </c>
      <c r="J234" s="13">
        <v>0</v>
      </c>
      <c r="K234">
        <v>769.15</v>
      </c>
      <c r="L234">
        <v>557.66</v>
      </c>
      <c r="M234">
        <v>211.49</v>
      </c>
      <c r="N234" t="s">
        <v>60</v>
      </c>
    </row>
    <row r="235" spans="1:14" x14ac:dyDescent="0.3">
      <c r="A235" t="s">
        <v>289</v>
      </c>
      <c r="B235" s="1">
        <v>45984</v>
      </c>
      <c r="C235" t="s">
        <v>59</v>
      </c>
      <c r="D235" t="s">
        <v>41</v>
      </c>
      <c r="E235" t="s">
        <v>17</v>
      </c>
      <c r="F235" t="s">
        <v>18</v>
      </c>
      <c r="G235" t="s">
        <v>56</v>
      </c>
      <c r="H235">
        <v>1</v>
      </c>
      <c r="I235">
        <v>29.53</v>
      </c>
      <c r="J235" s="13">
        <v>0</v>
      </c>
      <c r="K235">
        <v>29.53</v>
      </c>
      <c r="L235">
        <v>18.61</v>
      </c>
      <c r="M235">
        <v>10.92</v>
      </c>
      <c r="N235" t="s">
        <v>60</v>
      </c>
    </row>
    <row r="236" spans="1:14" x14ac:dyDescent="0.3">
      <c r="A236" t="s">
        <v>290</v>
      </c>
      <c r="B236" s="1">
        <v>45755</v>
      </c>
      <c r="C236" t="s">
        <v>30</v>
      </c>
      <c r="D236" t="s">
        <v>41</v>
      </c>
      <c r="E236" t="s">
        <v>24</v>
      </c>
      <c r="F236" t="s">
        <v>45</v>
      </c>
      <c r="G236" t="s">
        <v>37</v>
      </c>
      <c r="H236">
        <v>3</v>
      </c>
      <c r="I236">
        <v>53.94</v>
      </c>
      <c r="J236" s="13">
        <v>0.1</v>
      </c>
      <c r="K236">
        <v>145.65</v>
      </c>
      <c r="L236">
        <v>111.63</v>
      </c>
      <c r="M236">
        <v>34.020000000000003</v>
      </c>
      <c r="N236" t="s">
        <v>63</v>
      </c>
    </row>
    <row r="237" spans="1:14" x14ac:dyDescent="0.3">
      <c r="A237" t="s">
        <v>291</v>
      </c>
      <c r="B237" s="1">
        <v>45782</v>
      </c>
      <c r="C237" t="s">
        <v>69</v>
      </c>
      <c r="D237" t="s">
        <v>16</v>
      </c>
      <c r="E237" t="s">
        <v>17</v>
      </c>
      <c r="F237" t="s">
        <v>18</v>
      </c>
      <c r="G237" t="s">
        <v>19</v>
      </c>
      <c r="H237">
        <v>5</v>
      </c>
      <c r="I237">
        <v>304.95999999999998</v>
      </c>
      <c r="J237" s="13">
        <v>0.05</v>
      </c>
      <c r="K237">
        <v>1448.56</v>
      </c>
      <c r="L237">
        <v>1025.3599999999999</v>
      </c>
      <c r="M237">
        <v>423.2</v>
      </c>
      <c r="N237" t="s">
        <v>72</v>
      </c>
    </row>
    <row r="238" spans="1:14" x14ac:dyDescent="0.3">
      <c r="A238" t="s">
        <v>292</v>
      </c>
      <c r="B238" s="1">
        <v>45689</v>
      </c>
      <c r="C238" t="s">
        <v>69</v>
      </c>
      <c r="D238" t="s">
        <v>16</v>
      </c>
      <c r="E238" t="s">
        <v>44</v>
      </c>
      <c r="F238" t="s">
        <v>18</v>
      </c>
      <c r="G238" t="s">
        <v>33</v>
      </c>
      <c r="H238">
        <v>7</v>
      </c>
      <c r="I238">
        <v>271.93</v>
      </c>
      <c r="J238" s="13">
        <v>0.1</v>
      </c>
      <c r="K238">
        <v>1713.19</v>
      </c>
      <c r="L238">
        <v>1293.3599999999999</v>
      </c>
      <c r="M238">
        <v>419.83</v>
      </c>
      <c r="N238" t="s">
        <v>102</v>
      </c>
    </row>
    <row r="239" spans="1:14" x14ac:dyDescent="0.3">
      <c r="A239" t="s">
        <v>293</v>
      </c>
      <c r="B239" s="1">
        <v>45749</v>
      </c>
      <c r="C239" t="s">
        <v>67</v>
      </c>
      <c r="D239" t="s">
        <v>41</v>
      </c>
      <c r="E239" t="s">
        <v>24</v>
      </c>
      <c r="F239" t="s">
        <v>18</v>
      </c>
      <c r="G239" t="s">
        <v>37</v>
      </c>
      <c r="H239">
        <v>1</v>
      </c>
      <c r="I239">
        <v>190.74</v>
      </c>
      <c r="J239" s="13">
        <v>0.1</v>
      </c>
      <c r="K239">
        <v>171.66</v>
      </c>
      <c r="L239">
        <v>144.18</v>
      </c>
      <c r="M239">
        <v>27.48</v>
      </c>
      <c r="N239" t="s">
        <v>63</v>
      </c>
    </row>
    <row r="240" spans="1:14" x14ac:dyDescent="0.3">
      <c r="A240" t="s">
        <v>294</v>
      </c>
      <c r="B240" s="1">
        <v>45701</v>
      </c>
      <c r="C240" t="s">
        <v>22</v>
      </c>
      <c r="D240" t="s">
        <v>31</v>
      </c>
      <c r="E240" t="s">
        <v>24</v>
      </c>
      <c r="F240" t="s">
        <v>45</v>
      </c>
      <c r="G240" t="s">
        <v>46</v>
      </c>
      <c r="H240">
        <v>3</v>
      </c>
      <c r="I240">
        <v>85.99</v>
      </c>
      <c r="J240" s="13">
        <v>0</v>
      </c>
      <c r="K240">
        <v>257.95999999999998</v>
      </c>
      <c r="L240">
        <v>167.35</v>
      </c>
      <c r="M240">
        <v>90.61</v>
      </c>
      <c r="N240" t="s">
        <v>102</v>
      </c>
    </row>
    <row r="241" spans="1:14" x14ac:dyDescent="0.3">
      <c r="A241" t="s">
        <v>295</v>
      </c>
      <c r="B241" s="1">
        <v>45925</v>
      </c>
      <c r="C241" t="s">
        <v>40</v>
      </c>
      <c r="D241" t="s">
        <v>41</v>
      </c>
      <c r="E241" t="s">
        <v>24</v>
      </c>
      <c r="F241" t="s">
        <v>18</v>
      </c>
      <c r="G241" t="s">
        <v>50</v>
      </c>
      <c r="H241">
        <v>2</v>
      </c>
      <c r="I241">
        <v>117.09</v>
      </c>
      <c r="J241" s="13">
        <v>0.1</v>
      </c>
      <c r="K241">
        <v>210.76</v>
      </c>
      <c r="L241">
        <v>180.99</v>
      </c>
      <c r="M241">
        <v>29.77</v>
      </c>
      <c r="N241" t="s">
        <v>38</v>
      </c>
    </row>
    <row r="242" spans="1:14" x14ac:dyDescent="0.3">
      <c r="A242" t="s">
        <v>296</v>
      </c>
      <c r="B242" s="1">
        <v>45761</v>
      </c>
      <c r="C242" t="s">
        <v>36</v>
      </c>
      <c r="D242" t="s">
        <v>41</v>
      </c>
      <c r="E242" t="s">
        <v>24</v>
      </c>
      <c r="F242" t="s">
        <v>45</v>
      </c>
      <c r="G242" t="s">
        <v>33</v>
      </c>
      <c r="H242">
        <v>5</v>
      </c>
      <c r="I242">
        <v>148.9</v>
      </c>
      <c r="J242" s="13">
        <v>0.03</v>
      </c>
      <c r="K242">
        <v>722.18</v>
      </c>
      <c r="L242">
        <v>568.08000000000004</v>
      </c>
      <c r="M242">
        <v>154.1</v>
      </c>
      <c r="N242" t="s">
        <v>63</v>
      </c>
    </row>
    <row r="243" spans="1:14" x14ac:dyDescent="0.3">
      <c r="A243" t="s">
        <v>297</v>
      </c>
      <c r="B243" s="1">
        <v>45877</v>
      </c>
      <c r="C243" t="s">
        <v>69</v>
      </c>
      <c r="D243" t="s">
        <v>31</v>
      </c>
      <c r="E243" t="s">
        <v>24</v>
      </c>
      <c r="F243" t="s">
        <v>18</v>
      </c>
      <c r="G243" t="s">
        <v>19</v>
      </c>
      <c r="H243">
        <v>2</v>
      </c>
      <c r="I243">
        <v>286.35000000000002</v>
      </c>
      <c r="J243" s="13">
        <v>0.1</v>
      </c>
      <c r="K243">
        <v>515.44000000000005</v>
      </c>
      <c r="L243">
        <v>351.51</v>
      </c>
      <c r="M243">
        <v>163.93</v>
      </c>
      <c r="N243" t="s">
        <v>20</v>
      </c>
    </row>
    <row r="244" spans="1:14" x14ac:dyDescent="0.3">
      <c r="A244" t="s">
        <v>298</v>
      </c>
      <c r="B244" s="1">
        <v>45689</v>
      </c>
      <c r="C244" t="s">
        <v>40</v>
      </c>
      <c r="D244" t="s">
        <v>31</v>
      </c>
      <c r="E244" t="s">
        <v>44</v>
      </c>
      <c r="F244" t="s">
        <v>18</v>
      </c>
      <c r="G244" t="s">
        <v>19</v>
      </c>
      <c r="H244">
        <v>2</v>
      </c>
      <c r="I244">
        <v>102.35</v>
      </c>
      <c r="J244" s="13">
        <v>0.05</v>
      </c>
      <c r="K244">
        <v>194.46</v>
      </c>
      <c r="L244">
        <v>122.14</v>
      </c>
      <c r="M244">
        <v>72.319999999999993</v>
      </c>
      <c r="N244" t="s">
        <v>102</v>
      </c>
    </row>
    <row r="245" spans="1:14" x14ac:dyDescent="0.3">
      <c r="A245" t="s">
        <v>299</v>
      </c>
      <c r="B245" s="1">
        <v>45759</v>
      </c>
      <c r="C245" t="s">
        <v>43</v>
      </c>
      <c r="D245" t="s">
        <v>41</v>
      </c>
      <c r="E245" t="s">
        <v>24</v>
      </c>
      <c r="F245" t="s">
        <v>18</v>
      </c>
      <c r="G245" t="s">
        <v>79</v>
      </c>
      <c r="H245">
        <v>1</v>
      </c>
      <c r="I245">
        <v>618.17999999999995</v>
      </c>
      <c r="J245" s="13">
        <v>0.05</v>
      </c>
      <c r="K245">
        <v>587.28</v>
      </c>
      <c r="L245">
        <v>398.48</v>
      </c>
      <c r="M245">
        <v>188.8</v>
      </c>
      <c r="N245" t="s">
        <v>63</v>
      </c>
    </row>
    <row r="246" spans="1:14" x14ac:dyDescent="0.3">
      <c r="A246" t="s">
        <v>300</v>
      </c>
      <c r="B246" s="1">
        <v>45790</v>
      </c>
      <c r="C246" t="s">
        <v>22</v>
      </c>
      <c r="D246" t="s">
        <v>16</v>
      </c>
      <c r="E246" t="s">
        <v>24</v>
      </c>
      <c r="F246" t="s">
        <v>32</v>
      </c>
      <c r="G246" t="s">
        <v>33</v>
      </c>
      <c r="H246">
        <v>1</v>
      </c>
      <c r="I246">
        <v>78.08</v>
      </c>
      <c r="J246" s="13">
        <v>0.1</v>
      </c>
      <c r="K246">
        <v>70.27</v>
      </c>
      <c r="L246">
        <v>48.56</v>
      </c>
      <c r="M246">
        <v>21.71</v>
      </c>
      <c r="N246" t="s">
        <v>72</v>
      </c>
    </row>
    <row r="247" spans="1:14" x14ac:dyDescent="0.3">
      <c r="A247" t="s">
        <v>301</v>
      </c>
      <c r="B247" s="1">
        <v>46021</v>
      </c>
      <c r="C247" t="s">
        <v>43</v>
      </c>
      <c r="D247" t="s">
        <v>23</v>
      </c>
      <c r="E247" t="s">
        <v>24</v>
      </c>
      <c r="F247" t="s">
        <v>18</v>
      </c>
      <c r="G247" t="s">
        <v>25</v>
      </c>
      <c r="H247">
        <v>4</v>
      </c>
      <c r="I247">
        <v>571.73</v>
      </c>
      <c r="J247" s="13">
        <v>0.15</v>
      </c>
      <c r="K247">
        <v>1943.89</v>
      </c>
      <c r="L247">
        <v>1738.66</v>
      </c>
      <c r="M247">
        <v>205.23</v>
      </c>
      <c r="N247" t="s">
        <v>70</v>
      </c>
    </row>
    <row r="248" spans="1:14" x14ac:dyDescent="0.3">
      <c r="A248" t="s">
        <v>302</v>
      </c>
      <c r="B248" s="1">
        <v>45847</v>
      </c>
      <c r="C248" t="s">
        <v>48</v>
      </c>
      <c r="D248" t="s">
        <v>31</v>
      </c>
      <c r="E248" t="s">
        <v>24</v>
      </c>
      <c r="F248" t="s">
        <v>18</v>
      </c>
      <c r="G248" t="s">
        <v>50</v>
      </c>
      <c r="H248">
        <v>1</v>
      </c>
      <c r="I248">
        <v>328.79</v>
      </c>
      <c r="J248" s="13">
        <v>0.05</v>
      </c>
      <c r="K248">
        <v>312.35000000000002</v>
      </c>
      <c r="L248">
        <v>245.02</v>
      </c>
      <c r="M248">
        <v>67.33</v>
      </c>
      <c r="N248" t="s">
        <v>26</v>
      </c>
    </row>
    <row r="249" spans="1:14" x14ac:dyDescent="0.3">
      <c r="A249" t="s">
        <v>303</v>
      </c>
      <c r="B249" s="1">
        <v>45930</v>
      </c>
      <c r="C249" t="s">
        <v>22</v>
      </c>
      <c r="D249" t="s">
        <v>31</v>
      </c>
      <c r="E249" t="s">
        <v>44</v>
      </c>
      <c r="F249" t="s">
        <v>45</v>
      </c>
      <c r="G249" t="s">
        <v>79</v>
      </c>
      <c r="H249">
        <v>3</v>
      </c>
      <c r="I249">
        <v>79.75</v>
      </c>
      <c r="J249" s="13">
        <v>0.03</v>
      </c>
      <c r="K249">
        <v>232.08</v>
      </c>
      <c r="L249">
        <v>166.39</v>
      </c>
      <c r="M249">
        <v>65.69</v>
      </c>
      <c r="N249" t="s">
        <v>38</v>
      </c>
    </row>
    <row r="250" spans="1:14" x14ac:dyDescent="0.3">
      <c r="A250" t="s">
        <v>304</v>
      </c>
      <c r="B250" s="1">
        <v>45813</v>
      </c>
      <c r="C250" t="s">
        <v>40</v>
      </c>
      <c r="D250" t="s">
        <v>16</v>
      </c>
      <c r="E250" t="s">
        <v>24</v>
      </c>
      <c r="F250" t="s">
        <v>32</v>
      </c>
      <c r="G250" t="s">
        <v>33</v>
      </c>
      <c r="H250">
        <v>4</v>
      </c>
      <c r="I250">
        <v>101.78</v>
      </c>
      <c r="J250" s="13">
        <v>0.03</v>
      </c>
      <c r="K250">
        <v>394.9</v>
      </c>
      <c r="L250">
        <v>292.01</v>
      </c>
      <c r="M250">
        <v>102.89</v>
      </c>
      <c r="N250" t="s">
        <v>76</v>
      </c>
    </row>
    <row r="251" spans="1:14" x14ac:dyDescent="0.3">
      <c r="A251" t="s">
        <v>305</v>
      </c>
      <c r="B251" s="1">
        <v>45960</v>
      </c>
      <c r="C251" t="s">
        <v>43</v>
      </c>
      <c r="D251" t="s">
        <v>41</v>
      </c>
      <c r="E251" t="s">
        <v>24</v>
      </c>
      <c r="F251" t="s">
        <v>18</v>
      </c>
      <c r="G251" t="s">
        <v>50</v>
      </c>
      <c r="H251">
        <v>1</v>
      </c>
      <c r="I251">
        <v>567.01</v>
      </c>
      <c r="J251" s="13">
        <v>0.03</v>
      </c>
      <c r="K251">
        <v>550</v>
      </c>
      <c r="L251">
        <v>427.12</v>
      </c>
      <c r="M251">
        <v>122.88</v>
      </c>
      <c r="N251" t="s">
        <v>51</v>
      </c>
    </row>
    <row r="252" spans="1:14" x14ac:dyDescent="0.3">
      <c r="A252" t="s">
        <v>306</v>
      </c>
      <c r="B252" s="1">
        <v>46012</v>
      </c>
      <c r="C252" t="s">
        <v>59</v>
      </c>
      <c r="D252" t="s">
        <v>23</v>
      </c>
      <c r="E252" t="s">
        <v>17</v>
      </c>
      <c r="F252" t="s">
        <v>18</v>
      </c>
      <c r="G252" t="s">
        <v>50</v>
      </c>
      <c r="H252">
        <v>6</v>
      </c>
      <c r="I252">
        <v>32.979999999999997</v>
      </c>
      <c r="J252" s="13">
        <v>0.1</v>
      </c>
      <c r="K252">
        <v>178.09</v>
      </c>
      <c r="L252">
        <v>145.09</v>
      </c>
      <c r="M252">
        <v>33</v>
      </c>
      <c r="N252" t="s">
        <v>70</v>
      </c>
    </row>
    <row r="253" spans="1:14" x14ac:dyDescent="0.3">
      <c r="A253" t="s">
        <v>307</v>
      </c>
      <c r="B253" s="1">
        <v>45799</v>
      </c>
      <c r="C253" t="s">
        <v>48</v>
      </c>
      <c r="D253" t="s">
        <v>23</v>
      </c>
      <c r="E253" t="s">
        <v>24</v>
      </c>
      <c r="F253" t="s">
        <v>18</v>
      </c>
      <c r="G253" t="s">
        <v>79</v>
      </c>
      <c r="H253">
        <v>1</v>
      </c>
      <c r="I253">
        <v>306.01</v>
      </c>
      <c r="J253" s="13">
        <v>0.03</v>
      </c>
      <c r="K253">
        <v>296.83</v>
      </c>
      <c r="L253">
        <v>200.71</v>
      </c>
      <c r="M253">
        <v>96.12</v>
      </c>
      <c r="N253" t="s">
        <v>72</v>
      </c>
    </row>
    <row r="254" spans="1:14" x14ac:dyDescent="0.3">
      <c r="A254" t="s">
        <v>308</v>
      </c>
      <c r="B254" s="1">
        <v>45811</v>
      </c>
      <c r="C254" t="s">
        <v>43</v>
      </c>
      <c r="D254" t="s">
        <v>41</v>
      </c>
      <c r="E254" t="s">
        <v>24</v>
      </c>
      <c r="F254" t="s">
        <v>32</v>
      </c>
      <c r="G254" t="s">
        <v>79</v>
      </c>
      <c r="H254">
        <v>2</v>
      </c>
      <c r="I254">
        <v>571.73</v>
      </c>
      <c r="J254" s="13">
        <v>0</v>
      </c>
      <c r="K254">
        <v>1143.46</v>
      </c>
      <c r="L254">
        <v>832.42</v>
      </c>
      <c r="M254">
        <v>311.04000000000002</v>
      </c>
      <c r="N254" t="s">
        <v>76</v>
      </c>
    </row>
    <row r="255" spans="1:14" x14ac:dyDescent="0.3">
      <c r="A255" t="s">
        <v>309</v>
      </c>
      <c r="B255" s="1">
        <v>45863</v>
      </c>
      <c r="C255" t="s">
        <v>43</v>
      </c>
      <c r="D255" t="s">
        <v>16</v>
      </c>
      <c r="E255" t="s">
        <v>17</v>
      </c>
      <c r="F255" t="s">
        <v>45</v>
      </c>
      <c r="G255" t="s">
        <v>50</v>
      </c>
      <c r="H255">
        <v>4</v>
      </c>
      <c r="I255">
        <v>660.43</v>
      </c>
      <c r="J255" s="13">
        <v>0.1</v>
      </c>
      <c r="K255">
        <v>2377.54</v>
      </c>
      <c r="L255">
        <v>2050.92</v>
      </c>
      <c r="M255">
        <v>326.62</v>
      </c>
      <c r="N255" t="s">
        <v>26</v>
      </c>
    </row>
    <row r="256" spans="1:14" x14ac:dyDescent="0.3">
      <c r="A256" t="s">
        <v>310</v>
      </c>
      <c r="B256" s="1">
        <v>45943</v>
      </c>
      <c r="C256" t="s">
        <v>59</v>
      </c>
      <c r="D256" t="s">
        <v>31</v>
      </c>
      <c r="E256" t="s">
        <v>24</v>
      </c>
      <c r="F256" t="s">
        <v>18</v>
      </c>
      <c r="G256" t="s">
        <v>50</v>
      </c>
      <c r="H256">
        <v>1</v>
      </c>
      <c r="I256">
        <v>34.39</v>
      </c>
      <c r="J256" s="13">
        <v>0.05</v>
      </c>
      <c r="K256">
        <v>32.67</v>
      </c>
      <c r="L256">
        <v>23.66</v>
      </c>
      <c r="M256">
        <v>9.01</v>
      </c>
      <c r="N256" t="s">
        <v>51</v>
      </c>
    </row>
    <row r="257" spans="1:14" x14ac:dyDescent="0.3">
      <c r="A257" t="s">
        <v>311</v>
      </c>
      <c r="B257" s="1">
        <v>45725</v>
      </c>
      <c r="C257" t="s">
        <v>67</v>
      </c>
      <c r="D257" t="s">
        <v>23</v>
      </c>
      <c r="E257" t="s">
        <v>44</v>
      </c>
      <c r="F257" t="s">
        <v>45</v>
      </c>
      <c r="G257" t="s">
        <v>25</v>
      </c>
      <c r="H257">
        <v>1</v>
      </c>
      <c r="I257">
        <v>173.82</v>
      </c>
      <c r="J257" s="13">
        <v>0.05</v>
      </c>
      <c r="K257">
        <v>165.13</v>
      </c>
      <c r="L257">
        <v>121.63</v>
      </c>
      <c r="M257">
        <v>43.5</v>
      </c>
      <c r="N257" t="s">
        <v>53</v>
      </c>
    </row>
    <row r="258" spans="1:14" x14ac:dyDescent="0.3">
      <c r="A258" t="s">
        <v>312</v>
      </c>
      <c r="B258" s="1">
        <v>45815</v>
      </c>
      <c r="C258" t="s">
        <v>59</v>
      </c>
      <c r="D258" t="s">
        <v>23</v>
      </c>
      <c r="E258" t="s">
        <v>17</v>
      </c>
      <c r="F258" t="s">
        <v>32</v>
      </c>
      <c r="G258" t="s">
        <v>37</v>
      </c>
      <c r="H258">
        <v>3</v>
      </c>
      <c r="I258">
        <v>35.130000000000003</v>
      </c>
      <c r="J258" s="13">
        <v>0.05</v>
      </c>
      <c r="K258">
        <v>100.12</v>
      </c>
      <c r="L258">
        <v>78.790000000000006</v>
      </c>
      <c r="M258">
        <v>21.33</v>
      </c>
      <c r="N258" t="s">
        <v>76</v>
      </c>
    </row>
    <row r="259" spans="1:14" x14ac:dyDescent="0.3">
      <c r="A259" t="s">
        <v>313</v>
      </c>
      <c r="B259" s="1">
        <v>45858</v>
      </c>
      <c r="C259" t="s">
        <v>36</v>
      </c>
      <c r="D259" t="s">
        <v>31</v>
      </c>
      <c r="E259" t="s">
        <v>24</v>
      </c>
      <c r="F259" t="s">
        <v>32</v>
      </c>
      <c r="G259" t="s">
        <v>37</v>
      </c>
      <c r="H259">
        <v>2</v>
      </c>
      <c r="I259">
        <v>149.61000000000001</v>
      </c>
      <c r="J259" s="13">
        <v>0</v>
      </c>
      <c r="K259">
        <v>299.20999999999998</v>
      </c>
      <c r="L259">
        <v>202.77</v>
      </c>
      <c r="M259">
        <v>96.44</v>
      </c>
      <c r="N259" t="s">
        <v>26</v>
      </c>
    </row>
    <row r="260" spans="1:14" x14ac:dyDescent="0.3">
      <c r="A260" t="s">
        <v>314</v>
      </c>
      <c r="B260" s="1">
        <v>45733</v>
      </c>
      <c r="C260" t="s">
        <v>48</v>
      </c>
      <c r="D260" t="s">
        <v>41</v>
      </c>
      <c r="E260" t="s">
        <v>17</v>
      </c>
      <c r="F260" t="s">
        <v>45</v>
      </c>
      <c r="G260" t="s">
        <v>37</v>
      </c>
      <c r="H260">
        <v>3</v>
      </c>
      <c r="I260">
        <v>344.88</v>
      </c>
      <c r="J260" s="13">
        <v>0.03</v>
      </c>
      <c r="K260">
        <v>1003.6</v>
      </c>
      <c r="L260">
        <v>665.68</v>
      </c>
      <c r="M260">
        <v>337.92</v>
      </c>
      <c r="N260" t="s">
        <v>53</v>
      </c>
    </row>
    <row r="261" spans="1:14" x14ac:dyDescent="0.3">
      <c r="A261" t="s">
        <v>315</v>
      </c>
      <c r="B261" s="1">
        <v>45836</v>
      </c>
      <c r="C261" t="s">
        <v>69</v>
      </c>
      <c r="D261" t="s">
        <v>23</v>
      </c>
      <c r="E261" t="s">
        <v>17</v>
      </c>
      <c r="F261" t="s">
        <v>18</v>
      </c>
      <c r="G261" t="s">
        <v>33</v>
      </c>
      <c r="H261">
        <v>7</v>
      </c>
      <c r="I261">
        <v>261.55</v>
      </c>
      <c r="J261" s="13">
        <v>0.03</v>
      </c>
      <c r="K261">
        <v>1775.94</v>
      </c>
      <c r="L261">
        <v>1350.74</v>
      </c>
      <c r="M261">
        <v>425.2</v>
      </c>
      <c r="N261" t="s">
        <v>76</v>
      </c>
    </row>
    <row r="262" spans="1:14" x14ac:dyDescent="0.3">
      <c r="A262" t="s">
        <v>316</v>
      </c>
      <c r="B262" s="1">
        <v>46018</v>
      </c>
      <c r="C262" t="s">
        <v>15</v>
      </c>
      <c r="D262" t="s">
        <v>31</v>
      </c>
      <c r="E262" t="s">
        <v>24</v>
      </c>
      <c r="F262" t="s">
        <v>18</v>
      </c>
      <c r="G262" t="s">
        <v>25</v>
      </c>
      <c r="H262">
        <v>4</v>
      </c>
      <c r="I262">
        <v>74.819999999999993</v>
      </c>
      <c r="J262" s="13">
        <v>0.15</v>
      </c>
      <c r="K262">
        <v>254.37</v>
      </c>
      <c r="L262">
        <v>209.52</v>
      </c>
      <c r="M262">
        <v>44.85</v>
      </c>
      <c r="N262" t="s">
        <v>70</v>
      </c>
    </row>
    <row r="263" spans="1:14" x14ac:dyDescent="0.3">
      <c r="A263" t="s">
        <v>317</v>
      </c>
      <c r="B263" s="1">
        <v>46019</v>
      </c>
      <c r="C263" t="s">
        <v>30</v>
      </c>
      <c r="D263" t="s">
        <v>31</v>
      </c>
      <c r="E263" t="s">
        <v>17</v>
      </c>
      <c r="F263" t="s">
        <v>18</v>
      </c>
      <c r="G263" t="s">
        <v>79</v>
      </c>
      <c r="H263">
        <v>3</v>
      </c>
      <c r="I263">
        <v>53.48</v>
      </c>
      <c r="J263" s="13">
        <v>0</v>
      </c>
      <c r="K263">
        <v>160.44</v>
      </c>
      <c r="L263">
        <v>97.55</v>
      </c>
      <c r="M263">
        <v>62.89</v>
      </c>
      <c r="N263" t="s">
        <v>70</v>
      </c>
    </row>
    <row r="264" spans="1:14" x14ac:dyDescent="0.3">
      <c r="A264" t="s">
        <v>318</v>
      </c>
      <c r="B264" s="1">
        <v>45706</v>
      </c>
      <c r="C264" t="s">
        <v>30</v>
      </c>
      <c r="D264" t="s">
        <v>41</v>
      </c>
      <c r="E264" t="s">
        <v>24</v>
      </c>
      <c r="F264" t="s">
        <v>45</v>
      </c>
      <c r="G264" t="s">
        <v>33</v>
      </c>
      <c r="H264">
        <v>2</v>
      </c>
      <c r="I264">
        <v>56.22</v>
      </c>
      <c r="J264" s="13">
        <v>0</v>
      </c>
      <c r="K264">
        <v>112.44</v>
      </c>
      <c r="L264">
        <v>76.83</v>
      </c>
      <c r="M264">
        <v>35.61</v>
      </c>
      <c r="N264" t="s">
        <v>102</v>
      </c>
    </row>
    <row r="265" spans="1:14" x14ac:dyDescent="0.3">
      <c r="A265" t="s">
        <v>319</v>
      </c>
      <c r="B265" s="1">
        <v>46020</v>
      </c>
      <c r="C265" t="s">
        <v>69</v>
      </c>
      <c r="D265" t="s">
        <v>41</v>
      </c>
      <c r="E265" t="s">
        <v>44</v>
      </c>
      <c r="F265" t="s">
        <v>18</v>
      </c>
      <c r="G265" t="s">
        <v>56</v>
      </c>
      <c r="H265">
        <v>5</v>
      </c>
      <c r="I265">
        <v>270.98</v>
      </c>
      <c r="J265" s="13">
        <v>0.05</v>
      </c>
      <c r="K265">
        <v>1287.1400000000001</v>
      </c>
      <c r="L265">
        <v>924.75</v>
      </c>
      <c r="M265">
        <v>362.39</v>
      </c>
      <c r="N265" t="s">
        <v>70</v>
      </c>
    </row>
    <row r="266" spans="1:14" x14ac:dyDescent="0.3">
      <c r="A266" t="s">
        <v>320</v>
      </c>
      <c r="B266" s="1">
        <v>45696</v>
      </c>
      <c r="C266" t="s">
        <v>59</v>
      </c>
      <c r="D266" t="s">
        <v>31</v>
      </c>
      <c r="E266" t="s">
        <v>17</v>
      </c>
      <c r="F266" t="s">
        <v>18</v>
      </c>
      <c r="G266" t="s">
        <v>79</v>
      </c>
      <c r="H266">
        <v>3</v>
      </c>
      <c r="I266">
        <v>34.04</v>
      </c>
      <c r="J266" s="13">
        <v>0.1</v>
      </c>
      <c r="K266">
        <v>91.9</v>
      </c>
      <c r="L266">
        <v>70.959999999999994</v>
      </c>
      <c r="M266">
        <v>20.94</v>
      </c>
      <c r="N266" t="s">
        <v>102</v>
      </c>
    </row>
    <row r="267" spans="1:14" x14ac:dyDescent="0.3">
      <c r="A267" t="s">
        <v>321</v>
      </c>
      <c r="B267" s="1">
        <v>45766</v>
      </c>
      <c r="C267" t="s">
        <v>69</v>
      </c>
      <c r="D267" t="s">
        <v>23</v>
      </c>
      <c r="E267" t="s">
        <v>17</v>
      </c>
      <c r="F267" t="s">
        <v>18</v>
      </c>
      <c r="G267" t="s">
        <v>37</v>
      </c>
      <c r="H267">
        <v>2</v>
      </c>
      <c r="I267">
        <v>267.38</v>
      </c>
      <c r="J267" s="13">
        <v>0.03</v>
      </c>
      <c r="K267">
        <v>518.73</v>
      </c>
      <c r="L267">
        <v>354.13</v>
      </c>
      <c r="M267">
        <v>164.6</v>
      </c>
      <c r="N267" t="s">
        <v>63</v>
      </c>
    </row>
    <row r="268" spans="1:14" x14ac:dyDescent="0.3">
      <c r="A268" t="s">
        <v>322</v>
      </c>
      <c r="B268" s="1">
        <v>45872</v>
      </c>
      <c r="C268" t="s">
        <v>43</v>
      </c>
      <c r="D268" t="s">
        <v>31</v>
      </c>
      <c r="E268" t="s">
        <v>17</v>
      </c>
      <c r="F268" t="s">
        <v>45</v>
      </c>
      <c r="G268" t="s">
        <v>37</v>
      </c>
      <c r="H268">
        <v>1</v>
      </c>
      <c r="I268">
        <v>659.83</v>
      </c>
      <c r="J268" s="13">
        <v>0.05</v>
      </c>
      <c r="K268">
        <v>626.84</v>
      </c>
      <c r="L268">
        <v>389.45</v>
      </c>
      <c r="M268">
        <v>237.39</v>
      </c>
      <c r="N268" t="s">
        <v>20</v>
      </c>
    </row>
    <row r="269" spans="1:14" x14ac:dyDescent="0.3">
      <c r="A269" t="s">
        <v>323</v>
      </c>
      <c r="B269" s="1">
        <v>45741</v>
      </c>
      <c r="C269" t="s">
        <v>40</v>
      </c>
      <c r="D269" t="s">
        <v>31</v>
      </c>
      <c r="E269" t="s">
        <v>24</v>
      </c>
      <c r="F269" t="s">
        <v>18</v>
      </c>
      <c r="G269" t="s">
        <v>46</v>
      </c>
      <c r="H269">
        <v>4</v>
      </c>
      <c r="I269">
        <v>116.61</v>
      </c>
      <c r="J269" s="13">
        <v>0</v>
      </c>
      <c r="K269">
        <v>466.43</v>
      </c>
      <c r="L269">
        <v>326.16000000000003</v>
      </c>
      <c r="M269">
        <v>140.27000000000001</v>
      </c>
      <c r="N269" t="s">
        <v>53</v>
      </c>
    </row>
    <row r="270" spans="1:14" x14ac:dyDescent="0.3">
      <c r="A270" t="s">
        <v>324</v>
      </c>
      <c r="B270" s="1">
        <v>45923</v>
      </c>
      <c r="C270" t="s">
        <v>22</v>
      </c>
      <c r="D270" t="s">
        <v>41</v>
      </c>
      <c r="E270" t="s">
        <v>17</v>
      </c>
      <c r="F270" t="s">
        <v>32</v>
      </c>
      <c r="G270" t="s">
        <v>50</v>
      </c>
      <c r="H270">
        <v>3</v>
      </c>
      <c r="I270">
        <v>83.52</v>
      </c>
      <c r="J270" s="13">
        <v>0.05</v>
      </c>
      <c r="K270">
        <v>238.02</v>
      </c>
      <c r="L270">
        <v>189.82</v>
      </c>
      <c r="M270">
        <v>48.2</v>
      </c>
      <c r="N270" t="s">
        <v>38</v>
      </c>
    </row>
    <row r="271" spans="1:14" x14ac:dyDescent="0.3">
      <c r="A271" t="s">
        <v>325</v>
      </c>
      <c r="B271" s="1">
        <v>46007</v>
      </c>
      <c r="C271" t="s">
        <v>69</v>
      </c>
      <c r="D271" t="s">
        <v>23</v>
      </c>
      <c r="E271" t="s">
        <v>44</v>
      </c>
      <c r="F271" t="s">
        <v>45</v>
      </c>
      <c r="G271" t="s">
        <v>33</v>
      </c>
      <c r="H271">
        <v>3</v>
      </c>
      <c r="I271">
        <v>261.62</v>
      </c>
      <c r="J271" s="13">
        <v>0.05</v>
      </c>
      <c r="K271">
        <v>745.63</v>
      </c>
      <c r="L271">
        <v>538.41999999999996</v>
      </c>
      <c r="M271">
        <v>207.21</v>
      </c>
      <c r="N271" t="s">
        <v>70</v>
      </c>
    </row>
    <row r="272" spans="1:14" x14ac:dyDescent="0.3">
      <c r="A272" t="s">
        <v>326</v>
      </c>
      <c r="B272" s="1">
        <v>45706</v>
      </c>
      <c r="C272" t="s">
        <v>59</v>
      </c>
      <c r="D272" t="s">
        <v>16</v>
      </c>
      <c r="E272" t="s">
        <v>24</v>
      </c>
      <c r="F272" t="s">
        <v>45</v>
      </c>
      <c r="G272" t="s">
        <v>50</v>
      </c>
      <c r="H272">
        <v>3</v>
      </c>
      <c r="I272">
        <v>31.91</v>
      </c>
      <c r="J272" s="13">
        <v>0</v>
      </c>
      <c r="K272">
        <v>95.73</v>
      </c>
      <c r="L272">
        <v>57.88</v>
      </c>
      <c r="M272">
        <v>37.85</v>
      </c>
      <c r="N272" t="s">
        <v>102</v>
      </c>
    </row>
    <row r="273" spans="1:14" x14ac:dyDescent="0.3">
      <c r="A273" t="s">
        <v>327</v>
      </c>
      <c r="B273" s="1">
        <v>45730</v>
      </c>
      <c r="C273" t="s">
        <v>28</v>
      </c>
      <c r="D273" t="s">
        <v>31</v>
      </c>
      <c r="E273" t="s">
        <v>44</v>
      </c>
      <c r="F273" t="s">
        <v>45</v>
      </c>
      <c r="G273" t="s">
        <v>33</v>
      </c>
      <c r="H273">
        <v>5</v>
      </c>
      <c r="I273">
        <v>928.6</v>
      </c>
      <c r="J273" s="13">
        <v>0.03</v>
      </c>
      <c r="K273">
        <v>4503.7299999999996</v>
      </c>
      <c r="L273">
        <v>2765.03</v>
      </c>
      <c r="M273">
        <v>1738.7</v>
      </c>
      <c r="N273" t="s">
        <v>53</v>
      </c>
    </row>
    <row r="274" spans="1:14" x14ac:dyDescent="0.3">
      <c r="A274" t="s">
        <v>328</v>
      </c>
      <c r="B274" s="1">
        <v>46017</v>
      </c>
      <c r="C274" t="s">
        <v>67</v>
      </c>
      <c r="D274" t="s">
        <v>16</v>
      </c>
      <c r="E274" t="s">
        <v>17</v>
      </c>
      <c r="F274" t="s">
        <v>18</v>
      </c>
      <c r="G274" t="s">
        <v>50</v>
      </c>
      <c r="H274">
        <v>5</v>
      </c>
      <c r="I274">
        <v>202.25</v>
      </c>
      <c r="J274" s="13">
        <v>0.1</v>
      </c>
      <c r="K274">
        <v>910.13</v>
      </c>
      <c r="L274">
        <v>673.7</v>
      </c>
      <c r="M274">
        <v>236.43</v>
      </c>
      <c r="N274" t="s">
        <v>70</v>
      </c>
    </row>
    <row r="275" spans="1:14" x14ac:dyDescent="0.3">
      <c r="A275" t="s">
        <v>329</v>
      </c>
      <c r="B275" s="1">
        <v>45664</v>
      </c>
      <c r="C275" t="s">
        <v>28</v>
      </c>
      <c r="D275" t="s">
        <v>23</v>
      </c>
      <c r="E275" t="s">
        <v>24</v>
      </c>
      <c r="F275" t="s">
        <v>45</v>
      </c>
      <c r="G275" t="s">
        <v>46</v>
      </c>
      <c r="H275">
        <v>3</v>
      </c>
      <c r="I275">
        <v>929.67</v>
      </c>
      <c r="J275" s="13">
        <v>0.05</v>
      </c>
      <c r="K275">
        <v>2649.55</v>
      </c>
      <c r="L275">
        <v>1710</v>
      </c>
      <c r="M275">
        <v>939.55</v>
      </c>
      <c r="N275" t="s">
        <v>34</v>
      </c>
    </row>
    <row r="276" spans="1:14" x14ac:dyDescent="0.3">
      <c r="A276" t="s">
        <v>330</v>
      </c>
      <c r="B276" s="1">
        <v>45783</v>
      </c>
      <c r="C276" t="s">
        <v>69</v>
      </c>
      <c r="D276" t="s">
        <v>16</v>
      </c>
      <c r="E276" t="s">
        <v>24</v>
      </c>
      <c r="F276" t="s">
        <v>45</v>
      </c>
      <c r="G276" t="s">
        <v>56</v>
      </c>
      <c r="H276">
        <v>3</v>
      </c>
      <c r="I276">
        <v>253.43</v>
      </c>
      <c r="J276" s="13">
        <v>0.05</v>
      </c>
      <c r="K276">
        <v>722.26</v>
      </c>
      <c r="L276">
        <v>492.75</v>
      </c>
      <c r="M276">
        <v>229.51</v>
      </c>
      <c r="N276" t="s">
        <v>72</v>
      </c>
    </row>
    <row r="277" spans="1:14" x14ac:dyDescent="0.3">
      <c r="A277" t="s">
        <v>331</v>
      </c>
      <c r="B277" s="1">
        <v>45770</v>
      </c>
      <c r="C277" t="s">
        <v>36</v>
      </c>
      <c r="D277" t="s">
        <v>31</v>
      </c>
      <c r="E277" t="s">
        <v>44</v>
      </c>
      <c r="F277" t="s">
        <v>18</v>
      </c>
      <c r="G277" t="s">
        <v>19</v>
      </c>
      <c r="H277">
        <v>3</v>
      </c>
      <c r="I277">
        <v>154.91</v>
      </c>
      <c r="J277" s="13">
        <v>0.05</v>
      </c>
      <c r="K277">
        <v>441.49</v>
      </c>
      <c r="L277">
        <v>279.33</v>
      </c>
      <c r="M277">
        <v>162.16</v>
      </c>
      <c r="N277" t="s">
        <v>63</v>
      </c>
    </row>
    <row r="278" spans="1:14" x14ac:dyDescent="0.3">
      <c r="A278" t="s">
        <v>332</v>
      </c>
      <c r="B278" s="1">
        <v>45891</v>
      </c>
      <c r="C278" t="s">
        <v>104</v>
      </c>
      <c r="D278" t="s">
        <v>16</v>
      </c>
      <c r="E278" t="s">
        <v>24</v>
      </c>
      <c r="F278" t="s">
        <v>45</v>
      </c>
      <c r="G278" t="s">
        <v>46</v>
      </c>
      <c r="H278">
        <v>2</v>
      </c>
      <c r="I278">
        <v>103.82</v>
      </c>
      <c r="J278" s="13">
        <v>0</v>
      </c>
      <c r="K278">
        <v>207.63</v>
      </c>
      <c r="L278">
        <v>121.71</v>
      </c>
      <c r="M278">
        <v>85.92</v>
      </c>
      <c r="N278" t="s">
        <v>20</v>
      </c>
    </row>
    <row r="279" spans="1:14" x14ac:dyDescent="0.3">
      <c r="A279" t="s">
        <v>333</v>
      </c>
      <c r="B279" s="1">
        <v>45692</v>
      </c>
      <c r="C279" t="s">
        <v>104</v>
      </c>
      <c r="D279" t="s">
        <v>16</v>
      </c>
      <c r="E279" t="s">
        <v>24</v>
      </c>
      <c r="F279" t="s">
        <v>32</v>
      </c>
      <c r="G279" t="s">
        <v>50</v>
      </c>
      <c r="H279">
        <v>5</v>
      </c>
      <c r="I279">
        <v>87.97</v>
      </c>
      <c r="J279" s="13">
        <v>0.03</v>
      </c>
      <c r="K279">
        <v>426.66</v>
      </c>
      <c r="L279">
        <v>288.08999999999997</v>
      </c>
      <c r="M279">
        <v>138.57</v>
      </c>
      <c r="N279" t="s">
        <v>102</v>
      </c>
    </row>
    <row r="280" spans="1:14" x14ac:dyDescent="0.3">
      <c r="A280" t="s">
        <v>334</v>
      </c>
      <c r="B280" s="1">
        <v>45935</v>
      </c>
      <c r="C280" t="s">
        <v>43</v>
      </c>
      <c r="D280" t="s">
        <v>23</v>
      </c>
      <c r="E280" t="s">
        <v>44</v>
      </c>
      <c r="F280" t="s">
        <v>18</v>
      </c>
      <c r="G280" t="s">
        <v>56</v>
      </c>
      <c r="H280">
        <v>7</v>
      </c>
      <c r="I280">
        <v>593.76</v>
      </c>
      <c r="J280" s="13">
        <v>0.03</v>
      </c>
      <c r="K280">
        <v>4031.65</v>
      </c>
      <c r="L280">
        <v>2731.14</v>
      </c>
      <c r="M280">
        <v>1300.51</v>
      </c>
      <c r="N280" t="s">
        <v>51</v>
      </c>
    </row>
    <row r="281" spans="1:14" x14ac:dyDescent="0.3">
      <c r="A281" t="s">
        <v>335</v>
      </c>
      <c r="B281" s="1">
        <v>45766</v>
      </c>
      <c r="C281" t="s">
        <v>36</v>
      </c>
      <c r="D281" t="s">
        <v>16</v>
      </c>
      <c r="E281" t="s">
        <v>24</v>
      </c>
      <c r="F281" t="s">
        <v>18</v>
      </c>
      <c r="G281" t="s">
        <v>46</v>
      </c>
      <c r="H281">
        <v>5</v>
      </c>
      <c r="I281">
        <v>152.6</v>
      </c>
      <c r="J281" s="13">
        <v>0.03</v>
      </c>
      <c r="K281">
        <v>740.09</v>
      </c>
      <c r="L281">
        <v>488.66</v>
      </c>
      <c r="M281">
        <v>251.43</v>
      </c>
      <c r="N281" t="s">
        <v>63</v>
      </c>
    </row>
    <row r="282" spans="1:14" x14ac:dyDescent="0.3">
      <c r="A282" t="s">
        <v>336</v>
      </c>
      <c r="B282" s="1">
        <v>45937</v>
      </c>
      <c r="C282" t="s">
        <v>59</v>
      </c>
      <c r="D282" t="s">
        <v>31</v>
      </c>
      <c r="E282" t="s">
        <v>24</v>
      </c>
      <c r="F282" t="s">
        <v>45</v>
      </c>
      <c r="G282" t="s">
        <v>79</v>
      </c>
      <c r="H282">
        <v>3</v>
      </c>
      <c r="I282">
        <v>34.99</v>
      </c>
      <c r="J282" s="13">
        <v>0.03</v>
      </c>
      <c r="K282">
        <v>101.81</v>
      </c>
      <c r="L282">
        <v>73.06</v>
      </c>
      <c r="M282">
        <v>28.75</v>
      </c>
      <c r="N282" t="s">
        <v>51</v>
      </c>
    </row>
    <row r="283" spans="1:14" x14ac:dyDescent="0.3">
      <c r="A283" t="s">
        <v>337</v>
      </c>
      <c r="B283" s="1">
        <v>45809</v>
      </c>
      <c r="C283" t="s">
        <v>30</v>
      </c>
      <c r="D283" t="s">
        <v>41</v>
      </c>
      <c r="E283" t="s">
        <v>17</v>
      </c>
      <c r="F283" t="s">
        <v>45</v>
      </c>
      <c r="G283" t="s">
        <v>19</v>
      </c>
      <c r="H283">
        <v>4</v>
      </c>
      <c r="I283">
        <v>58.11</v>
      </c>
      <c r="J283" s="13">
        <v>0.03</v>
      </c>
      <c r="K283">
        <v>225.45</v>
      </c>
      <c r="L283">
        <v>149.94999999999999</v>
      </c>
      <c r="M283">
        <v>75.5</v>
      </c>
      <c r="N283" t="s">
        <v>76</v>
      </c>
    </row>
    <row r="284" spans="1:14" x14ac:dyDescent="0.3">
      <c r="A284" t="s">
        <v>338</v>
      </c>
      <c r="B284" s="1">
        <v>45774</v>
      </c>
      <c r="C284" t="s">
        <v>28</v>
      </c>
      <c r="D284" t="s">
        <v>41</v>
      </c>
      <c r="E284" t="s">
        <v>17</v>
      </c>
      <c r="F284" t="s">
        <v>18</v>
      </c>
      <c r="G284" t="s">
        <v>33</v>
      </c>
      <c r="H284">
        <v>3</v>
      </c>
      <c r="I284">
        <v>945.35</v>
      </c>
      <c r="J284" s="13">
        <v>0</v>
      </c>
      <c r="K284">
        <v>2836.06</v>
      </c>
      <c r="L284">
        <v>2191.7199999999998</v>
      </c>
      <c r="M284">
        <v>644.34</v>
      </c>
      <c r="N284" t="s">
        <v>63</v>
      </c>
    </row>
    <row r="285" spans="1:14" x14ac:dyDescent="0.3">
      <c r="A285" t="s">
        <v>339</v>
      </c>
      <c r="B285" s="1">
        <v>45703</v>
      </c>
      <c r="C285" t="s">
        <v>28</v>
      </c>
      <c r="D285" t="s">
        <v>41</v>
      </c>
      <c r="E285" t="s">
        <v>44</v>
      </c>
      <c r="F285" t="s">
        <v>18</v>
      </c>
      <c r="G285" t="s">
        <v>79</v>
      </c>
      <c r="H285">
        <v>3</v>
      </c>
      <c r="I285">
        <v>996.71</v>
      </c>
      <c r="J285" s="13">
        <v>0</v>
      </c>
      <c r="K285">
        <v>2990.14</v>
      </c>
      <c r="L285">
        <v>2141.39</v>
      </c>
      <c r="M285">
        <v>848.75</v>
      </c>
      <c r="N285" t="s">
        <v>102</v>
      </c>
    </row>
    <row r="286" spans="1:14" x14ac:dyDescent="0.3">
      <c r="A286" t="s">
        <v>340</v>
      </c>
      <c r="B286" s="1">
        <v>45885</v>
      </c>
      <c r="C286" t="s">
        <v>104</v>
      </c>
      <c r="D286" t="s">
        <v>41</v>
      </c>
      <c r="E286" t="s">
        <v>17</v>
      </c>
      <c r="F286" t="s">
        <v>45</v>
      </c>
      <c r="G286" t="s">
        <v>46</v>
      </c>
      <c r="H286">
        <v>4</v>
      </c>
      <c r="I286">
        <v>87.28</v>
      </c>
      <c r="J286" s="13">
        <v>0.05</v>
      </c>
      <c r="K286">
        <v>331.66</v>
      </c>
      <c r="L286">
        <v>223.61</v>
      </c>
      <c r="M286">
        <v>108.05</v>
      </c>
      <c r="N286" t="s">
        <v>20</v>
      </c>
    </row>
    <row r="287" spans="1:14" x14ac:dyDescent="0.3">
      <c r="A287" t="s">
        <v>341</v>
      </c>
      <c r="B287" s="1">
        <v>45876</v>
      </c>
      <c r="C287" t="s">
        <v>15</v>
      </c>
      <c r="D287" t="s">
        <v>41</v>
      </c>
      <c r="E287" t="s">
        <v>24</v>
      </c>
      <c r="F287" t="s">
        <v>45</v>
      </c>
      <c r="G287" t="s">
        <v>46</v>
      </c>
      <c r="H287">
        <v>3</v>
      </c>
      <c r="I287">
        <v>75.17</v>
      </c>
      <c r="J287" s="13">
        <v>0.05</v>
      </c>
      <c r="K287">
        <v>214.23</v>
      </c>
      <c r="L287">
        <v>169.83</v>
      </c>
      <c r="M287">
        <v>44.4</v>
      </c>
      <c r="N287" t="s">
        <v>20</v>
      </c>
    </row>
    <row r="288" spans="1:14" x14ac:dyDescent="0.3">
      <c r="A288" t="s">
        <v>342</v>
      </c>
      <c r="B288" s="1">
        <v>45994</v>
      </c>
      <c r="C288" t="s">
        <v>36</v>
      </c>
      <c r="D288" t="s">
        <v>31</v>
      </c>
      <c r="E288" t="s">
        <v>44</v>
      </c>
      <c r="F288" t="s">
        <v>32</v>
      </c>
      <c r="G288" t="s">
        <v>79</v>
      </c>
      <c r="H288">
        <v>1</v>
      </c>
      <c r="I288">
        <v>158.22999999999999</v>
      </c>
      <c r="J288" s="13">
        <v>0</v>
      </c>
      <c r="K288">
        <v>158.22999999999999</v>
      </c>
      <c r="L288">
        <v>118.79</v>
      </c>
      <c r="M288">
        <v>39.44</v>
      </c>
      <c r="N288" t="s">
        <v>70</v>
      </c>
    </row>
    <row r="289" spans="1:14" x14ac:dyDescent="0.3">
      <c r="A289" t="s">
        <v>343</v>
      </c>
      <c r="B289" s="1">
        <v>45865</v>
      </c>
      <c r="C289" t="s">
        <v>59</v>
      </c>
      <c r="D289" t="s">
        <v>41</v>
      </c>
      <c r="E289" t="s">
        <v>17</v>
      </c>
      <c r="F289" t="s">
        <v>45</v>
      </c>
      <c r="G289" t="s">
        <v>79</v>
      </c>
      <c r="H289">
        <v>1</v>
      </c>
      <c r="I289">
        <v>30.44</v>
      </c>
      <c r="J289" s="13">
        <v>0.15</v>
      </c>
      <c r="K289">
        <v>25.87</v>
      </c>
      <c r="L289">
        <v>19</v>
      </c>
      <c r="M289">
        <v>6.87</v>
      </c>
      <c r="N289" t="s">
        <v>26</v>
      </c>
    </row>
    <row r="290" spans="1:14" x14ac:dyDescent="0.3">
      <c r="A290" t="s">
        <v>344</v>
      </c>
      <c r="B290" s="1">
        <v>45826</v>
      </c>
      <c r="C290" t="s">
        <v>48</v>
      </c>
      <c r="D290" t="s">
        <v>23</v>
      </c>
      <c r="E290" t="s">
        <v>17</v>
      </c>
      <c r="F290" t="s">
        <v>18</v>
      </c>
      <c r="G290" t="s">
        <v>25</v>
      </c>
      <c r="H290">
        <v>3</v>
      </c>
      <c r="I290">
        <v>341.85</v>
      </c>
      <c r="J290" s="13">
        <v>0.05</v>
      </c>
      <c r="K290">
        <v>974.28</v>
      </c>
      <c r="L290">
        <v>762.97</v>
      </c>
      <c r="M290">
        <v>211.31</v>
      </c>
      <c r="N290" t="s">
        <v>76</v>
      </c>
    </row>
    <row r="291" spans="1:14" x14ac:dyDescent="0.3">
      <c r="A291" t="s">
        <v>345</v>
      </c>
      <c r="B291" s="1">
        <v>45792</v>
      </c>
      <c r="C291" t="s">
        <v>28</v>
      </c>
      <c r="D291" t="s">
        <v>16</v>
      </c>
      <c r="E291" t="s">
        <v>17</v>
      </c>
      <c r="F291" t="s">
        <v>45</v>
      </c>
      <c r="G291" t="s">
        <v>50</v>
      </c>
      <c r="H291">
        <v>4</v>
      </c>
      <c r="I291">
        <v>1044.5899999999999</v>
      </c>
      <c r="J291" s="13">
        <v>0.1</v>
      </c>
      <c r="K291">
        <v>3760.51</v>
      </c>
      <c r="L291">
        <v>2669.64</v>
      </c>
      <c r="M291">
        <v>1090.8699999999999</v>
      </c>
      <c r="N291" t="s">
        <v>72</v>
      </c>
    </row>
    <row r="292" spans="1:14" x14ac:dyDescent="0.3">
      <c r="A292" t="s">
        <v>346</v>
      </c>
      <c r="B292" s="1">
        <v>45914</v>
      </c>
      <c r="C292" t="s">
        <v>28</v>
      </c>
      <c r="D292" t="s">
        <v>23</v>
      </c>
      <c r="E292" t="s">
        <v>17</v>
      </c>
      <c r="F292" t="s">
        <v>18</v>
      </c>
      <c r="G292" t="s">
        <v>46</v>
      </c>
      <c r="H292">
        <v>6</v>
      </c>
      <c r="I292">
        <v>856.08</v>
      </c>
      <c r="J292" s="13">
        <v>0.1</v>
      </c>
      <c r="K292">
        <v>4622.8100000000004</v>
      </c>
      <c r="L292">
        <v>3810.41</v>
      </c>
      <c r="M292">
        <v>812.4</v>
      </c>
      <c r="N292" t="s">
        <v>38</v>
      </c>
    </row>
    <row r="293" spans="1:14" x14ac:dyDescent="0.3">
      <c r="A293" t="s">
        <v>347</v>
      </c>
      <c r="B293" s="1">
        <v>46012</v>
      </c>
      <c r="C293" t="s">
        <v>104</v>
      </c>
      <c r="D293" t="s">
        <v>23</v>
      </c>
      <c r="E293" t="s">
        <v>24</v>
      </c>
      <c r="F293" t="s">
        <v>45</v>
      </c>
      <c r="G293" t="s">
        <v>56</v>
      </c>
      <c r="H293">
        <v>0</v>
      </c>
      <c r="I293">
        <v>86.98</v>
      </c>
      <c r="J293" s="13">
        <v>0.03</v>
      </c>
      <c r="K293">
        <v>168.73</v>
      </c>
      <c r="L293">
        <v>103.19</v>
      </c>
      <c r="M293">
        <v>65.540000000000006</v>
      </c>
      <c r="N293" t="s">
        <v>70</v>
      </c>
    </row>
    <row r="294" spans="1:14" x14ac:dyDescent="0.3">
      <c r="A294" t="s">
        <v>348</v>
      </c>
      <c r="B294" s="1">
        <v>45802</v>
      </c>
      <c r="C294" t="s">
        <v>22</v>
      </c>
      <c r="D294" t="s">
        <v>16</v>
      </c>
      <c r="E294" t="s">
        <v>44</v>
      </c>
      <c r="F294" t="s">
        <v>18</v>
      </c>
      <c r="G294" t="s">
        <v>25</v>
      </c>
      <c r="H294">
        <v>1</v>
      </c>
      <c r="I294">
        <v>76.599999999999994</v>
      </c>
      <c r="J294" s="13">
        <v>0.1</v>
      </c>
      <c r="K294">
        <v>68.94</v>
      </c>
      <c r="L294">
        <v>54.87</v>
      </c>
      <c r="M294">
        <v>14.07</v>
      </c>
      <c r="N294" t="s">
        <v>72</v>
      </c>
    </row>
    <row r="295" spans="1:14" x14ac:dyDescent="0.3">
      <c r="A295" t="s">
        <v>349</v>
      </c>
      <c r="B295" s="1">
        <v>45952</v>
      </c>
      <c r="C295" t="s">
        <v>28</v>
      </c>
      <c r="D295" t="s">
        <v>16</v>
      </c>
      <c r="E295" t="s">
        <v>44</v>
      </c>
      <c r="F295" t="s">
        <v>32</v>
      </c>
      <c r="G295" t="s">
        <v>25</v>
      </c>
      <c r="H295">
        <v>2</v>
      </c>
      <c r="I295">
        <v>868.85</v>
      </c>
      <c r="J295" s="13">
        <v>0.03</v>
      </c>
      <c r="K295">
        <v>1685.57</v>
      </c>
      <c r="L295">
        <v>1088.6300000000001</v>
      </c>
      <c r="M295">
        <v>596.94000000000005</v>
      </c>
      <c r="N295" t="s">
        <v>51</v>
      </c>
    </row>
    <row r="296" spans="1:14" x14ac:dyDescent="0.3">
      <c r="A296" t="s">
        <v>350</v>
      </c>
      <c r="B296" s="1">
        <v>45815</v>
      </c>
      <c r="C296" t="s">
        <v>59</v>
      </c>
      <c r="D296" t="s">
        <v>31</v>
      </c>
      <c r="E296" t="s">
        <v>24</v>
      </c>
      <c r="F296" t="s">
        <v>18</v>
      </c>
      <c r="G296" t="s">
        <v>79</v>
      </c>
      <c r="H296">
        <v>3</v>
      </c>
      <c r="I296">
        <v>28.94</v>
      </c>
      <c r="J296" s="13">
        <v>0.1</v>
      </c>
      <c r="K296">
        <v>78.14</v>
      </c>
      <c r="L296">
        <v>59.89</v>
      </c>
      <c r="M296">
        <v>18.25</v>
      </c>
      <c r="N296" t="s">
        <v>76</v>
      </c>
    </row>
    <row r="297" spans="1:14" x14ac:dyDescent="0.3">
      <c r="A297" t="s">
        <v>351</v>
      </c>
      <c r="B297" s="1">
        <v>45667</v>
      </c>
      <c r="C297" t="s">
        <v>40</v>
      </c>
      <c r="D297" t="s">
        <v>23</v>
      </c>
      <c r="E297" t="s">
        <v>17</v>
      </c>
      <c r="F297" t="s">
        <v>18</v>
      </c>
      <c r="G297" t="s">
        <v>19</v>
      </c>
      <c r="H297">
        <v>6</v>
      </c>
      <c r="I297">
        <v>101.7</v>
      </c>
      <c r="J297" s="13">
        <v>0.05</v>
      </c>
      <c r="K297">
        <v>579.71</v>
      </c>
      <c r="L297">
        <v>408.77</v>
      </c>
      <c r="M297">
        <v>170.94</v>
      </c>
      <c r="N297" t="s">
        <v>34</v>
      </c>
    </row>
    <row r="298" spans="1:14" x14ac:dyDescent="0.3">
      <c r="A298" t="s">
        <v>352</v>
      </c>
      <c r="B298" s="1">
        <v>45687</v>
      </c>
      <c r="C298" t="s">
        <v>36</v>
      </c>
      <c r="D298" t="s">
        <v>16</v>
      </c>
      <c r="E298" t="s">
        <v>24</v>
      </c>
      <c r="F298" t="s">
        <v>32</v>
      </c>
      <c r="G298" t="s">
        <v>19</v>
      </c>
      <c r="H298">
        <v>1</v>
      </c>
      <c r="I298">
        <v>143.93</v>
      </c>
      <c r="J298" s="13">
        <v>0.03</v>
      </c>
      <c r="K298">
        <v>139.61000000000001</v>
      </c>
      <c r="L298">
        <v>91.83</v>
      </c>
      <c r="M298">
        <v>47.78</v>
      </c>
      <c r="N298" t="s">
        <v>34</v>
      </c>
    </row>
    <row r="299" spans="1:14" x14ac:dyDescent="0.3">
      <c r="A299" t="s">
        <v>353</v>
      </c>
      <c r="B299" s="1">
        <v>45732</v>
      </c>
      <c r="C299" t="s">
        <v>59</v>
      </c>
      <c r="D299" t="s">
        <v>31</v>
      </c>
      <c r="E299" t="s">
        <v>17</v>
      </c>
      <c r="F299" t="s">
        <v>18</v>
      </c>
      <c r="G299" t="s">
        <v>46</v>
      </c>
      <c r="H299">
        <v>2</v>
      </c>
      <c r="I299">
        <v>31.98</v>
      </c>
      <c r="J299" s="13">
        <v>0</v>
      </c>
      <c r="K299">
        <v>63.96</v>
      </c>
      <c r="L299">
        <v>45.15</v>
      </c>
      <c r="M299">
        <v>18.809999999999999</v>
      </c>
      <c r="N299" t="s">
        <v>53</v>
      </c>
    </row>
    <row r="300" spans="1:14" x14ac:dyDescent="0.3">
      <c r="A300" t="s">
        <v>354</v>
      </c>
      <c r="B300" s="1">
        <v>45745</v>
      </c>
      <c r="C300" t="s">
        <v>30</v>
      </c>
      <c r="D300" t="s">
        <v>41</v>
      </c>
      <c r="E300" t="s">
        <v>17</v>
      </c>
      <c r="F300" t="s">
        <v>18</v>
      </c>
      <c r="G300" t="s">
        <v>33</v>
      </c>
      <c r="H300">
        <v>4</v>
      </c>
      <c r="I300">
        <v>58.11</v>
      </c>
      <c r="J300" s="13">
        <v>0.05</v>
      </c>
      <c r="K300">
        <v>220.83</v>
      </c>
      <c r="L300">
        <v>176.47</v>
      </c>
      <c r="M300">
        <v>44.36</v>
      </c>
      <c r="N300" t="s">
        <v>53</v>
      </c>
    </row>
    <row r="301" spans="1:14" x14ac:dyDescent="0.3">
      <c r="A301" t="s">
        <v>355</v>
      </c>
      <c r="B301" s="1">
        <v>45819</v>
      </c>
      <c r="C301" t="s">
        <v>22</v>
      </c>
      <c r="D301" t="s">
        <v>23</v>
      </c>
      <c r="E301" t="s">
        <v>17</v>
      </c>
      <c r="F301" t="s">
        <v>32</v>
      </c>
      <c r="G301" t="s">
        <v>79</v>
      </c>
      <c r="H301">
        <v>1</v>
      </c>
      <c r="I301">
        <v>81.88</v>
      </c>
      <c r="J301" s="13">
        <v>0.03</v>
      </c>
      <c r="K301">
        <v>79.42</v>
      </c>
      <c r="L301">
        <v>51.92</v>
      </c>
      <c r="M301">
        <v>27.5</v>
      </c>
      <c r="N301" t="s">
        <v>76</v>
      </c>
    </row>
    <row r="302" spans="1:14" x14ac:dyDescent="0.3">
      <c r="A302" t="s">
        <v>356</v>
      </c>
      <c r="B302" s="1">
        <v>45843</v>
      </c>
      <c r="C302" t="s">
        <v>15</v>
      </c>
      <c r="D302" t="s">
        <v>16</v>
      </c>
      <c r="E302" t="s">
        <v>17</v>
      </c>
      <c r="F302" t="s">
        <v>18</v>
      </c>
      <c r="G302" t="s">
        <v>79</v>
      </c>
      <c r="H302">
        <v>2</v>
      </c>
      <c r="I302">
        <v>81.150000000000006</v>
      </c>
      <c r="J302" s="13">
        <v>0.15</v>
      </c>
      <c r="K302">
        <v>137.94999999999999</v>
      </c>
      <c r="L302">
        <v>97.03</v>
      </c>
      <c r="M302">
        <v>40.92</v>
      </c>
      <c r="N302" t="s">
        <v>26</v>
      </c>
    </row>
    <row r="303" spans="1:14" x14ac:dyDescent="0.3">
      <c r="A303" t="s">
        <v>357</v>
      </c>
      <c r="B303" s="1">
        <v>45758</v>
      </c>
      <c r="C303" t="s">
        <v>48</v>
      </c>
      <c r="D303" t="s">
        <v>31</v>
      </c>
      <c r="E303" t="s">
        <v>24</v>
      </c>
      <c r="F303" t="s">
        <v>18</v>
      </c>
      <c r="G303" t="s">
        <v>33</v>
      </c>
      <c r="H303">
        <v>1</v>
      </c>
      <c r="I303">
        <v>351.96</v>
      </c>
      <c r="J303" s="13">
        <v>0.03</v>
      </c>
      <c r="K303">
        <v>341.4</v>
      </c>
      <c r="L303">
        <v>265.76</v>
      </c>
      <c r="M303">
        <v>75.64</v>
      </c>
      <c r="N303" t="s">
        <v>63</v>
      </c>
    </row>
    <row r="304" spans="1:14" x14ac:dyDescent="0.3">
      <c r="A304" t="s">
        <v>358</v>
      </c>
      <c r="B304" s="1">
        <v>45955</v>
      </c>
      <c r="C304" t="s">
        <v>22</v>
      </c>
      <c r="D304" t="s">
        <v>31</v>
      </c>
      <c r="E304" t="s">
        <v>24</v>
      </c>
      <c r="F304" t="s">
        <v>32</v>
      </c>
      <c r="G304" t="s">
        <v>33</v>
      </c>
      <c r="H304">
        <v>1</v>
      </c>
      <c r="I304">
        <v>81.569999999999993</v>
      </c>
      <c r="J304" s="13">
        <v>0.1</v>
      </c>
      <c r="K304">
        <v>73.41</v>
      </c>
      <c r="L304">
        <v>57.82</v>
      </c>
      <c r="M304">
        <v>15.59</v>
      </c>
      <c r="N304" t="s">
        <v>51</v>
      </c>
    </row>
    <row r="305" spans="1:14" x14ac:dyDescent="0.3">
      <c r="A305" t="s">
        <v>359</v>
      </c>
      <c r="B305" s="1">
        <v>46018</v>
      </c>
      <c r="C305" t="s">
        <v>48</v>
      </c>
      <c r="D305" t="s">
        <v>23</v>
      </c>
      <c r="E305" t="s">
        <v>44</v>
      </c>
      <c r="F305" t="s">
        <v>18</v>
      </c>
      <c r="G305" t="s">
        <v>56</v>
      </c>
      <c r="H305">
        <v>1</v>
      </c>
      <c r="I305">
        <v>338.37</v>
      </c>
      <c r="J305" s="13">
        <v>0.05</v>
      </c>
      <c r="K305">
        <v>321.45</v>
      </c>
      <c r="L305">
        <v>248.41</v>
      </c>
      <c r="M305">
        <v>73.040000000000006</v>
      </c>
      <c r="N305" t="s">
        <v>70</v>
      </c>
    </row>
    <row r="306" spans="1:14" x14ac:dyDescent="0.3">
      <c r="A306" t="s">
        <v>360</v>
      </c>
      <c r="B306" s="1">
        <v>45757</v>
      </c>
      <c r="C306" t="s">
        <v>67</v>
      </c>
      <c r="D306" t="s">
        <v>31</v>
      </c>
      <c r="E306" t="s">
        <v>17</v>
      </c>
      <c r="F306" t="s">
        <v>18</v>
      </c>
      <c r="G306" t="s">
        <v>50</v>
      </c>
      <c r="H306">
        <v>1</v>
      </c>
      <c r="I306">
        <v>203.31</v>
      </c>
      <c r="J306" s="13">
        <v>0.05</v>
      </c>
      <c r="K306">
        <v>193.15</v>
      </c>
      <c r="L306">
        <v>137.13</v>
      </c>
      <c r="M306">
        <v>56.02</v>
      </c>
      <c r="N306" t="s">
        <v>63</v>
      </c>
    </row>
    <row r="307" spans="1:14" x14ac:dyDescent="0.3">
      <c r="A307" t="s">
        <v>361</v>
      </c>
      <c r="B307" s="1">
        <v>45806</v>
      </c>
      <c r="C307" t="s">
        <v>69</v>
      </c>
      <c r="D307" t="s">
        <v>23</v>
      </c>
      <c r="E307" t="s">
        <v>17</v>
      </c>
      <c r="F307" t="s">
        <v>18</v>
      </c>
      <c r="G307" t="s">
        <v>33</v>
      </c>
      <c r="H307">
        <v>4</v>
      </c>
      <c r="I307">
        <v>288.49</v>
      </c>
      <c r="J307" s="13">
        <v>0.03</v>
      </c>
      <c r="K307">
        <v>1119.3499999999999</v>
      </c>
      <c r="L307">
        <v>818.12</v>
      </c>
      <c r="M307">
        <v>301.23</v>
      </c>
      <c r="N307" t="s">
        <v>72</v>
      </c>
    </row>
    <row r="308" spans="1:14" x14ac:dyDescent="0.3">
      <c r="A308" t="s">
        <v>362</v>
      </c>
      <c r="B308" s="1">
        <v>45710</v>
      </c>
      <c r="C308" t="s">
        <v>28</v>
      </c>
      <c r="D308" t="s">
        <v>23</v>
      </c>
      <c r="E308" t="s">
        <v>24</v>
      </c>
      <c r="F308" t="s">
        <v>45</v>
      </c>
      <c r="G308" t="s">
        <v>56</v>
      </c>
      <c r="H308">
        <v>4</v>
      </c>
      <c r="I308">
        <v>863.17</v>
      </c>
      <c r="J308" s="13">
        <v>0.1</v>
      </c>
      <c r="K308">
        <v>3107.42</v>
      </c>
      <c r="L308">
        <v>2542.5700000000002</v>
      </c>
      <c r="M308">
        <v>564.85</v>
      </c>
      <c r="N308" t="s">
        <v>102</v>
      </c>
    </row>
    <row r="309" spans="1:14" x14ac:dyDescent="0.3">
      <c r="A309" t="s">
        <v>363</v>
      </c>
      <c r="B309" s="1">
        <v>45768</v>
      </c>
      <c r="C309" t="s">
        <v>15</v>
      </c>
      <c r="D309" t="s">
        <v>41</v>
      </c>
      <c r="E309" t="s">
        <v>17</v>
      </c>
      <c r="F309" t="s">
        <v>45</v>
      </c>
      <c r="G309" t="s">
        <v>19</v>
      </c>
      <c r="H309">
        <v>1</v>
      </c>
      <c r="I309">
        <v>72.56</v>
      </c>
      <c r="J309" s="13">
        <v>0</v>
      </c>
      <c r="K309">
        <v>72.56</v>
      </c>
      <c r="L309">
        <v>48.09</v>
      </c>
      <c r="M309">
        <v>24.47</v>
      </c>
      <c r="N309" t="s">
        <v>63</v>
      </c>
    </row>
    <row r="310" spans="1:14" x14ac:dyDescent="0.3">
      <c r="A310" t="s">
        <v>364</v>
      </c>
      <c r="B310" s="1">
        <v>45776</v>
      </c>
      <c r="C310" t="s">
        <v>22</v>
      </c>
      <c r="D310" t="s">
        <v>23</v>
      </c>
      <c r="E310" t="s">
        <v>24</v>
      </c>
      <c r="F310" t="s">
        <v>18</v>
      </c>
      <c r="G310" t="s">
        <v>33</v>
      </c>
      <c r="H310">
        <v>1</v>
      </c>
      <c r="I310">
        <v>91.42</v>
      </c>
      <c r="J310" s="13">
        <v>0.03</v>
      </c>
      <c r="K310">
        <v>88.68</v>
      </c>
      <c r="L310">
        <v>66.959999999999994</v>
      </c>
      <c r="M310">
        <v>21.72</v>
      </c>
      <c r="N310" t="s">
        <v>63</v>
      </c>
    </row>
    <row r="311" spans="1:14" x14ac:dyDescent="0.3">
      <c r="A311" t="s">
        <v>365</v>
      </c>
      <c r="B311" s="1">
        <v>45819</v>
      </c>
      <c r="C311" t="s">
        <v>43</v>
      </c>
      <c r="D311" t="s">
        <v>31</v>
      </c>
      <c r="E311" t="s">
        <v>24</v>
      </c>
      <c r="F311" t="s">
        <v>18</v>
      </c>
      <c r="G311" t="s">
        <v>56</v>
      </c>
      <c r="H311">
        <v>1</v>
      </c>
      <c r="I311">
        <v>573.57000000000005</v>
      </c>
      <c r="J311" s="13">
        <v>0.1</v>
      </c>
      <c r="K311">
        <v>516.21</v>
      </c>
      <c r="L311">
        <v>425.26</v>
      </c>
      <c r="M311">
        <v>90.95</v>
      </c>
      <c r="N311" t="s">
        <v>76</v>
      </c>
    </row>
    <row r="312" spans="1:14" x14ac:dyDescent="0.3">
      <c r="A312" t="s">
        <v>366</v>
      </c>
      <c r="B312" s="1">
        <v>45865</v>
      </c>
      <c r="C312" t="s">
        <v>59</v>
      </c>
      <c r="D312" t="s">
        <v>16</v>
      </c>
      <c r="E312" t="s">
        <v>17</v>
      </c>
      <c r="F312" t="s">
        <v>18</v>
      </c>
      <c r="G312" t="s">
        <v>33</v>
      </c>
      <c r="H312">
        <v>1</v>
      </c>
      <c r="I312">
        <v>33.53</v>
      </c>
      <c r="J312" s="13">
        <v>0.05</v>
      </c>
      <c r="K312">
        <v>31.85</v>
      </c>
      <c r="L312">
        <v>23.27</v>
      </c>
      <c r="M312">
        <v>8.58</v>
      </c>
      <c r="N312" t="s">
        <v>26</v>
      </c>
    </row>
    <row r="313" spans="1:14" x14ac:dyDescent="0.3">
      <c r="A313" t="s">
        <v>367</v>
      </c>
      <c r="B313" s="1">
        <v>45702</v>
      </c>
      <c r="C313" t="s">
        <v>48</v>
      </c>
      <c r="D313" t="s">
        <v>41</v>
      </c>
      <c r="E313" t="s">
        <v>24</v>
      </c>
      <c r="F313" t="s">
        <v>32</v>
      </c>
      <c r="G313" t="s">
        <v>56</v>
      </c>
      <c r="H313">
        <v>6</v>
      </c>
      <c r="I313">
        <v>307.60000000000002</v>
      </c>
      <c r="J313" s="13">
        <v>0.1</v>
      </c>
      <c r="K313">
        <v>1661.06</v>
      </c>
      <c r="L313">
        <v>1358.52</v>
      </c>
      <c r="M313">
        <v>302.54000000000002</v>
      </c>
      <c r="N313" t="s">
        <v>102</v>
      </c>
    </row>
    <row r="314" spans="1:14" x14ac:dyDescent="0.3">
      <c r="A314" t="s">
        <v>368</v>
      </c>
      <c r="B314" s="1">
        <v>45875</v>
      </c>
      <c r="C314" t="s">
        <v>30</v>
      </c>
      <c r="D314" t="s">
        <v>23</v>
      </c>
      <c r="E314" t="s">
        <v>44</v>
      </c>
      <c r="F314" t="s">
        <v>32</v>
      </c>
      <c r="G314" t="s">
        <v>56</v>
      </c>
      <c r="H314">
        <v>3</v>
      </c>
      <c r="I314">
        <v>52.21</v>
      </c>
      <c r="J314" s="13">
        <v>0.05</v>
      </c>
      <c r="K314">
        <v>148.81</v>
      </c>
      <c r="L314">
        <v>105.69</v>
      </c>
      <c r="M314">
        <v>43.12</v>
      </c>
      <c r="N314" t="s">
        <v>20</v>
      </c>
    </row>
    <row r="315" spans="1:14" x14ac:dyDescent="0.3">
      <c r="A315" t="s">
        <v>369</v>
      </c>
      <c r="B315" s="1">
        <v>45674</v>
      </c>
      <c r="C315" t="s">
        <v>36</v>
      </c>
      <c r="D315" t="s">
        <v>16</v>
      </c>
      <c r="E315" t="s">
        <v>17</v>
      </c>
      <c r="F315" t="s">
        <v>45</v>
      </c>
      <c r="G315" t="s">
        <v>50</v>
      </c>
      <c r="H315">
        <v>3</v>
      </c>
      <c r="I315">
        <v>149.38</v>
      </c>
      <c r="J315" s="13">
        <v>0.05</v>
      </c>
      <c r="K315">
        <v>425.73</v>
      </c>
      <c r="L315">
        <v>329.55</v>
      </c>
      <c r="M315">
        <v>96.18</v>
      </c>
      <c r="N315" t="s">
        <v>34</v>
      </c>
    </row>
    <row r="316" spans="1:14" x14ac:dyDescent="0.3">
      <c r="A316" t="s">
        <v>370</v>
      </c>
      <c r="B316" s="1">
        <v>46017</v>
      </c>
      <c r="C316" t="s">
        <v>40</v>
      </c>
      <c r="D316" t="s">
        <v>23</v>
      </c>
      <c r="E316" t="s">
        <v>24</v>
      </c>
      <c r="F316" t="s">
        <v>45</v>
      </c>
      <c r="G316" t="s">
        <v>79</v>
      </c>
      <c r="H316">
        <v>3</v>
      </c>
      <c r="I316">
        <v>116.19</v>
      </c>
      <c r="J316" s="13">
        <v>0</v>
      </c>
      <c r="K316">
        <v>348.57</v>
      </c>
      <c r="L316">
        <v>258.72000000000003</v>
      </c>
      <c r="M316">
        <v>89.85</v>
      </c>
      <c r="N316" t="s">
        <v>70</v>
      </c>
    </row>
    <row r="317" spans="1:14" x14ac:dyDescent="0.3">
      <c r="A317" t="s">
        <v>371</v>
      </c>
      <c r="B317" s="1">
        <v>45816</v>
      </c>
      <c r="C317" t="s">
        <v>67</v>
      </c>
      <c r="D317" t="s">
        <v>31</v>
      </c>
      <c r="E317" t="s">
        <v>17</v>
      </c>
      <c r="F317" t="s">
        <v>45</v>
      </c>
      <c r="G317" t="s">
        <v>37</v>
      </c>
      <c r="H317">
        <v>2</v>
      </c>
      <c r="I317">
        <v>207</v>
      </c>
      <c r="J317" s="13">
        <v>0.05</v>
      </c>
      <c r="K317">
        <v>393.3</v>
      </c>
      <c r="L317">
        <v>284.74</v>
      </c>
      <c r="M317">
        <v>108.56</v>
      </c>
      <c r="N317" t="s">
        <v>76</v>
      </c>
    </row>
    <row r="318" spans="1:14" x14ac:dyDescent="0.3">
      <c r="A318" t="s">
        <v>372</v>
      </c>
      <c r="B318" s="1">
        <v>45883</v>
      </c>
      <c r="C318" t="s">
        <v>28</v>
      </c>
      <c r="D318" t="s">
        <v>16</v>
      </c>
      <c r="E318" t="s">
        <v>24</v>
      </c>
      <c r="F318" t="s">
        <v>32</v>
      </c>
      <c r="G318" t="s">
        <v>25</v>
      </c>
      <c r="H318">
        <v>2</v>
      </c>
      <c r="I318">
        <v>974.88</v>
      </c>
      <c r="J318" s="13">
        <v>0</v>
      </c>
      <c r="K318">
        <v>1949.75</v>
      </c>
      <c r="L318">
        <v>1504.4</v>
      </c>
      <c r="M318">
        <v>445.35</v>
      </c>
      <c r="N318" t="s">
        <v>20</v>
      </c>
    </row>
    <row r="319" spans="1:14" x14ac:dyDescent="0.3">
      <c r="A319" t="s">
        <v>373</v>
      </c>
      <c r="B319" s="1">
        <v>45880</v>
      </c>
      <c r="C319" t="s">
        <v>28</v>
      </c>
      <c r="D319" t="s">
        <v>41</v>
      </c>
      <c r="E319" t="s">
        <v>17</v>
      </c>
      <c r="F319" t="s">
        <v>32</v>
      </c>
      <c r="G319" t="s">
        <v>19</v>
      </c>
      <c r="H319">
        <v>5</v>
      </c>
      <c r="I319">
        <v>907.19</v>
      </c>
      <c r="J319" s="13">
        <v>0.05</v>
      </c>
      <c r="K319">
        <v>4309.17</v>
      </c>
      <c r="L319">
        <v>3126.71</v>
      </c>
      <c r="M319">
        <v>1182.46</v>
      </c>
      <c r="N319" t="s">
        <v>20</v>
      </c>
    </row>
    <row r="320" spans="1:14" x14ac:dyDescent="0.3">
      <c r="A320" t="s">
        <v>374</v>
      </c>
      <c r="B320" s="1">
        <v>45668</v>
      </c>
      <c r="C320" t="s">
        <v>30</v>
      </c>
      <c r="D320" t="s">
        <v>16</v>
      </c>
      <c r="E320" t="s">
        <v>24</v>
      </c>
      <c r="F320" t="s">
        <v>32</v>
      </c>
      <c r="G320" t="s">
        <v>19</v>
      </c>
      <c r="H320">
        <v>5</v>
      </c>
      <c r="I320">
        <v>50.05</v>
      </c>
      <c r="J320" s="13">
        <v>0.15</v>
      </c>
      <c r="K320">
        <v>212.71</v>
      </c>
      <c r="L320">
        <v>184.84</v>
      </c>
      <c r="M320">
        <v>27.87</v>
      </c>
      <c r="N320" t="s">
        <v>34</v>
      </c>
    </row>
    <row r="321" spans="1:14" x14ac:dyDescent="0.3">
      <c r="A321" t="s">
        <v>375</v>
      </c>
      <c r="B321" s="1">
        <v>45989</v>
      </c>
      <c r="C321" t="s">
        <v>40</v>
      </c>
      <c r="D321" t="s">
        <v>16</v>
      </c>
      <c r="E321" t="s">
        <v>17</v>
      </c>
      <c r="F321" t="s">
        <v>32</v>
      </c>
      <c r="G321" t="s">
        <v>46</v>
      </c>
      <c r="H321">
        <v>2</v>
      </c>
      <c r="I321">
        <v>109.96</v>
      </c>
      <c r="J321" s="13">
        <v>0.15</v>
      </c>
      <c r="K321">
        <v>186.93</v>
      </c>
      <c r="L321">
        <v>150.54</v>
      </c>
      <c r="M321">
        <v>36.39</v>
      </c>
      <c r="N321" t="s">
        <v>60</v>
      </c>
    </row>
    <row r="322" spans="1:14" x14ac:dyDescent="0.3">
      <c r="A322" t="s">
        <v>376</v>
      </c>
      <c r="B322" s="1">
        <v>45716</v>
      </c>
      <c r="C322" t="s">
        <v>28</v>
      </c>
      <c r="D322" t="s">
        <v>31</v>
      </c>
      <c r="E322" t="s">
        <v>44</v>
      </c>
      <c r="F322" t="s">
        <v>32</v>
      </c>
      <c r="G322" t="s">
        <v>56</v>
      </c>
      <c r="H322">
        <v>8</v>
      </c>
      <c r="I322">
        <v>973.25</v>
      </c>
      <c r="J322" s="13">
        <v>0</v>
      </c>
      <c r="K322">
        <v>7785.96</v>
      </c>
      <c r="L322">
        <v>5750.08</v>
      </c>
      <c r="M322">
        <v>2035.88</v>
      </c>
      <c r="N322" t="s">
        <v>102</v>
      </c>
    </row>
    <row r="323" spans="1:14" x14ac:dyDescent="0.3">
      <c r="A323" t="s">
        <v>377</v>
      </c>
      <c r="B323" s="1">
        <v>45751</v>
      </c>
      <c r="C323" t="s">
        <v>43</v>
      </c>
      <c r="D323" t="s">
        <v>31</v>
      </c>
      <c r="E323" t="s">
        <v>17</v>
      </c>
      <c r="F323" t="s">
        <v>45</v>
      </c>
      <c r="G323" t="s">
        <v>33</v>
      </c>
      <c r="H323">
        <v>2</v>
      </c>
      <c r="I323">
        <v>677.91</v>
      </c>
      <c r="J323" s="13">
        <v>0.1</v>
      </c>
      <c r="K323">
        <v>1220.25</v>
      </c>
      <c r="L323">
        <v>996.02</v>
      </c>
      <c r="M323">
        <v>224.23</v>
      </c>
      <c r="N323" t="s">
        <v>63</v>
      </c>
    </row>
    <row r="324" spans="1:14" x14ac:dyDescent="0.3">
      <c r="A324" t="s">
        <v>378</v>
      </c>
      <c r="B324" s="1">
        <v>45758</v>
      </c>
      <c r="C324" t="s">
        <v>36</v>
      </c>
      <c r="D324" t="s">
        <v>23</v>
      </c>
      <c r="E324" t="s">
        <v>44</v>
      </c>
      <c r="F324" t="s">
        <v>18</v>
      </c>
      <c r="G324" t="s">
        <v>79</v>
      </c>
      <c r="H324">
        <v>3</v>
      </c>
      <c r="I324">
        <v>152.88</v>
      </c>
      <c r="J324" s="13">
        <v>0</v>
      </c>
      <c r="K324">
        <v>458.63</v>
      </c>
      <c r="L324">
        <v>266.83999999999997</v>
      </c>
      <c r="M324">
        <v>191.79</v>
      </c>
      <c r="N324" t="s">
        <v>63</v>
      </c>
    </row>
    <row r="325" spans="1:14" x14ac:dyDescent="0.3">
      <c r="A325" t="s">
        <v>379</v>
      </c>
      <c r="B325" s="1">
        <v>45935</v>
      </c>
      <c r="C325" t="s">
        <v>28</v>
      </c>
      <c r="D325" t="s">
        <v>31</v>
      </c>
      <c r="E325" t="s">
        <v>24</v>
      </c>
      <c r="F325" t="s">
        <v>18</v>
      </c>
      <c r="G325" t="s">
        <v>33</v>
      </c>
      <c r="H325">
        <v>1</v>
      </c>
      <c r="I325">
        <v>1008.54</v>
      </c>
      <c r="J325" s="13">
        <v>0.05</v>
      </c>
      <c r="K325">
        <v>958.11</v>
      </c>
      <c r="L325">
        <v>747.99</v>
      </c>
      <c r="M325">
        <v>210.12</v>
      </c>
      <c r="N325" t="s">
        <v>51</v>
      </c>
    </row>
    <row r="326" spans="1:14" x14ac:dyDescent="0.3">
      <c r="A326" t="s">
        <v>380</v>
      </c>
      <c r="B326" s="1">
        <v>45786</v>
      </c>
      <c r="C326" t="s">
        <v>40</v>
      </c>
      <c r="D326" t="s">
        <v>23</v>
      </c>
      <c r="E326" t="s">
        <v>17</v>
      </c>
      <c r="F326" t="s">
        <v>18</v>
      </c>
      <c r="G326" t="s">
        <v>79</v>
      </c>
      <c r="H326">
        <v>2</v>
      </c>
      <c r="I326">
        <v>101.61</v>
      </c>
      <c r="J326" s="13">
        <v>0.03</v>
      </c>
      <c r="K326">
        <v>197.12</v>
      </c>
      <c r="L326">
        <v>155.24</v>
      </c>
      <c r="M326">
        <v>41.88</v>
      </c>
      <c r="N326" t="s">
        <v>72</v>
      </c>
    </row>
    <row r="327" spans="1:14" x14ac:dyDescent="0.3">
      <c r="A327" t="s">
        <v>381</v>
      </c>
      <c r="B327" s="1">
        <v>45863</v>
      </c>
      <c r="C327" t="s">
        <v>15</v>
      </c>
      <c r="D327" t="s">
        <v>31</v>
      </c>
      <c r="E327" t="s">
        <v>17</v>
      </c>
      <c r="F327" t="s">
        <v>18</v>
      </c>
      <c r="G327" t="s">
        <v>33</v>
      </c>
      <c r="H327">
        <v>6</v>
      </c>
      <c r="I327">
        <v>78.81</v>
      </c>
      <c r="J327" s="13">
        <v>0.15</v>
      </c>
      <c r="K327">
        <v>401.95</v>
      </c>
      <c r="L327">
        <v>328.86</v>
      </c>
      <c r="M327">
        <v>73.09</v>
      </c>
      <c r="N327" t="s">
        <v>26</v>
      </c>
    </row>
    <row r="328" spans="1:14" x14ac:dyDescent="0.3">
      <c r="A328" t="s">
        <v>382</v>
      </c>
      <c r="B328" s="1">
        <v>45773</v>
      </c>
      <c r="C328" t="s">
        <v>36</v>
      </c>
      <c r="D328" t="s">
        <v>16</v>
      </c>
      <c r="E328" t="s">
        <v>17</v>
      </c>
      <c r="F328" t="s">
        <v>18</v>
      </c>
      <c r="G328" t="s">
        <v>50</v>
      </c>
      <c r="H328">
        <v>5</v>
      </c>
      <c r="I328">
        <v>142.55000000000001</v>
      </c>
      <c r="J328" s="13">
        <v>0.1</v>
      </c>
      <c r="K328">
        <v>641.49</v>
      </c>
      <c r="L328">
        <v>538.47</v>
      </c>
      <c r="M328">
        <v>103.02</v>
      </c>
      <c r="N328" t="s">
        <v>63</v>
      </c>
    </row>
    <row r="329" spans="1:14" x14ac:dyDescent="0.3">
      <c r="A329" t="s">
        <v>383</v>
      </c>
      <c r="B329" s="1">
        <v>45725</v>
      </c>
      <c r="C329" t="s">
        <v>30</v>
      </c>
      <c r="D329" t="s">
        <v>31</v>
      </c>
      <c r="E329" t="s">
        <v>17</v>
      </c>
      <c r="F329" t="s">
        <v>45</v>
      </c>
      <c r="G329" t="s">
        <v>56</v>
      </c>
      <c r="H329">
        <v>1</v>
      </c>
      <c r="I329">
        <v>60.02</v>
      </c>
      <c r="J329" s="13">
        <v>0.05</v>
      </c>
      <c r="K329">
        <v>57.02</v>
      </c>
      <c r="L329">
        <v>37.51</v>
      </c>
      <c r="M329">
        <v>19.510000000000002</v>
      </c>
      <c r="N329" t="s">
        <v>53</v>
      </c>
    </row>
    <row r="330" spans="1:14" x14ac:dyDescent="0.3">
      <c r="A330" t="s">
        <v>384</v>
      </c>
      <c r="B330" s="1">
        <v>45984</v>
      </c>
      <c r="C330" t="s">
        <v>104</v>
      </c>
      <c r="D330" t="s">
        <v>41</v>
      </c>
      <c r="E330" t="s">
        <v>44</v>
      </c>
      <c r="F330" t="s">
        <v>18</v>
      </c>
      <c r="G330" t="s">
        <v>33</v>
      </c>
      <c r="H330">
        <v>2</v>
      </c>
      <c r="I330">
        <v>99.92</v>
      </c>
      <c r="J330" s="13">
        <v>0.03</v>
      </c>
      <c r="K330">
        <v>193.84</v>
      </c>
      <c r="L330">
        <v>151.63999999999999</v>
      </c>
      <c r="M330">
        <v>42.2</v>
      </c>
      <c r="N330" t="s">
        <v>60</v>
      </c>
    </row>
    <row r="331" spans="1:14" x14ac:dyDescent="0.3">
      <c r="A331" t="s">
        <v>385</v>
      </c>
      <c r="B331" s="1">
        <v>45804</v>
      </c>
      <c r="C331" t="s">
        <v>67</v>
      </c>
      <c r="D331" t="s">
        <v>23</v>
      </c>
      <c r="E331" t="s">
        <v>44</v>
      </c>
      <c r="F331" t="s">
        <v>18</v>
      </c>
      <c r="G331" t="s">
        <v>50</v>
      </c>
      <c r="H331">
        <v>3</v>
      </c>
      <c r="I331">
        <v>204.78</v>
      </c>
      <c r="J331" s="13">
        <v>0</v>
      </c>
      <c r="K331">
        <v>614.33000000000004</v>
      </c>
      <c r="L331">
        <v>387.68</v>
      </c>
      <c r="M331">
        <v>226.65</v>
      </c>
      <c r="N331" t="s">
        <v>72</v>
      </c>
    </row>
    <row r="332" spans="1:14" x14ac:dyDescent="0.3">
      <c r="A332" t="s">
        <v>386</v>
      </c>
      <c r="B332" s="1">
        <v>45940</v>
      </c>
      <c r="C332" t="s">
        <v>59</v>
      </c>
      <c r="D332" t="s">
        <v>23</v>
      </c>
      <c r="E332" t="s">
        <v>24</v>
      </c>
      <c r="F332" t="s">
        <v>45</v>
      </c>
      <c r="G332" t="s">
        <v>56</v>
      </c>
      <c r="H332">
        <v>5</v>
      </c>
      <c r="I332">
        <v>30.69</v>
      </c>
      <c r="J332" s="13">
        <v>0.05</v>
      </c>
      <c r="K332">
        <v>145.78</v>
      </c>
      <c r="L332">
        <v>91.92</v>
      </c>
      <c r="M332">
        <v>53.86</v>
      </c>
      <c r="N332" t="s">
        <v>51</v>
      </c>
    </row>
    <row r="333" spans="1:14" x14ac:dyDescent="0.3">
      <c r="A333" t="s">
        <v>387</v>
      </c>
      <c r="B333" s="1">
        <v>45905</v>
      </c>
      <c r="C333" t="s">
        <v>67</v>
      </c>
      <c r="D333" t="s">
        <v>23</v>
      </c>
      <c r="E333" t="s">
        <v>24</v>
      </c>
      <c r="F333" t="s">
        <v>18</v>
      </c>
      <c r="G333" t="s">
        <v>25</v>
      </c>
      <c r="H333">
        <v>1</v>
      </c>
      <c r="I333">
        <v>195.88</v>
      </c>
      <c r="J333" s="13">
        <v>0.1</v>
      </c>
      <c r="K333">
        <v>176.29</v>
      </c>
      <c r="L333">
        <v>134.72999999999999</v>
      </c>
      <c r="M333">
        <v>41.56</v>
      </c>
      <c r="N333" t="s">
        <v>38</v>
      </c>
    </row>
    <row r="334" spans="1:14" x14ac:dyDescent="0.3">
      <c r="A334" t="s">
        <v>388</v>
      </c>
      <c r="B334" s="1">
        <v>45970</v>
      </c>
      <c r="C334" t="s">
        <v>36</v>
      </c>
      <c r="D334" t="s">
        <v>41</v>
      </c>
      <c r="E334" t="s">
        <v>24</v>
      </c>
      <c r="F334" t="s">
        <v>18</v>
      </c>
      <c r="G334" t="s">
        <v>56</v>
      </c>
      <c r="H334">
        <v>3</v>
      </c>
      <c r="I334">
        <v>145.93</v>
      </c>
      <c r="J334" s="13">
        <v>0</v>
      </c>
      <c r="K334">
        <v>437.79</v>
      </c>
      <c r="L334">
        <v>285.63</v>
      </c>
      <c r="M334">
        <v>152.16</v>
      </c>
      <c r="N334" t="s">
        <v>60</v>
      </c>
    </row>
    <row r="335" spans="1:14" x14ac:dyDescent="0.3">
      <c r="A335" t="s">
        <v>389</v>
      </c>
      <c r="B335" s="1">
        <v>45695</v>
      </c>
      <c r="C335" t="s">
        <v>59</v>
      </c>
      <c r="D335" t="s">
        <v>16</v>
      </c>
      <c r="E335" t="s">
        <v>17</v>
      </c>
      <c r="F335" t="s">
        <v>45</v>
      </c>
      <c r="G335" t="s">
        <v>56</v>
      </c>
      <c r="H335">
        <v>1</v>
      </c>
      <c r="I335">
        <v>30.27</v>
      </c>
      <c r="J335" s="13">
        <v>0.05</v>
      </c>
      <c r="K335">
        <v>28.76</v>
      </c>
      <c r="L335">
        <v>23.41</v>
      </c>
      <c r="M335">
        <v>5.35</v>
      </c>
      <c r="N335" t="s">
        <v>102</v>
      </c>
    </row>
    <row r="336" spans="1:14" x14ac:dyDescent="0.3">
      <c r="A336" t="s">
        <v>390</v>
      </c>
      <c r="B336" s="1">
        <v>45863</v>
      </c>
      <c r="C336" t="s">
        <v>67</v>
      </c>
      <c r="D336" t="s">
        <v>31</v>
      </c>
      <c r="E336" t="s">
        <v>24</v>
      </c>
      <c r="F336" t="s">
        <v>32</v>
      </c>
      <c r="G336" t="s">
        <v>25</v>
      </c>
      <c r="H336">
        <v>6</v>
      </c>
      <c r="I336">
        <v>194.17</v>
      </c>
      <c r="J336" s="13">
        <v>0.1</v>
      </c>
      <c r="K336">
        <v>1048.5</v>
      </c>
      <c r="L336">
        <v>734.6</v>
      </c>
      <c r="M336">
        <v>313.89999999999998</v>
      </c>
      <c r="N336" t="s">
        <v>26</v>
      </c>
    </row>
    <row r="337" spans="1:14" x14ac:dyDescent="0.3">
      <c r="A337" t="s">
        <v>391</v>
      </c>
      <c r="B337" s="1">
        <v>45929</v>
      </c>
      <c r="C337" t="s">
        <v>15</v>
      </c>
      <c r="D337" t="s">
        <v>16</v>
      </c>
      <c r="E337" t="s">
        <v>24</v>
      </c>
      <c r="F337" t="s">
        <v>45</v>
      </c>
      <c r="G337" t="s">
        <v>19</v>
      </c>
      <c r="H337">
        <v>4</v>
      </c>
      <c r="I337">
        <v>70.81</v>
      </c>
      <c r="J337" s="13">
        <v>0.05</v>
      </c>
      <c r="K337">
        <v>269.07</v>
      </c>
      <c r="L337">
        <v>172.75</v>
      </c>
      <c r="M337">
        <v>96.32</v>
      </c>
      <c r="N337" t="s">
        <v>38</v>
      </c>
    </row>
    <row r="338" spans="1:14" x14ac:dyDescent="0.3">
      <c r="A338" t="s">
        <v>392</v>
      </c>
      <c r="B338" s="1">
        <v>45930</v>
      </c>
      <c r="C338" t="s">
        <v>69</v>
      </c>
      <c r="D338" t="s">
        <v>23</v>
      </c>
      <c r="E338" t="s">
        <v>44</v>
      </c>
      <c r="F338" t="s">
        <v>45</v>
      </c>
      <c r="G338" t="s">
        <v>79</v>
      </c>
      <c r="H338">
        <v>3</v>
      </c>
      <c r="I338">
        <v>295.72000000000003</v>
      </c>
      <c r="J338" s="13">
        <v>0.15</v>
      </c>
      <c r="K338">
        <v>754.07</v>
      </c>
      <c r="L338">
        <v>522.07000000000005</v>
      </c>
      <c r="M338">
        <v>232</v>
      </c>
      <c r="N338" t="s">
        <v>38</v>
      </c>
    </row>
    <row r="339" spans="1:14" x14ac:dyDescent="0.3">
      <c r="A339" t="s">
        <v>393</v>
      </c>
      <c r="B339" s="1">
        <v>45745</v>
      </c>
      <c r="C339" t="s">
        <v>67</v>
      </c>
      <c r="D339" t="s">
        <v>41</v>
      </c>
      <c r="E339" t="s">
        <v>17</v>
      </c>
      <c r="F339" t="s">
        <v>45</v>
      </c>
      <c r="G339" t="s">
        <v>79</v>
      </c>
      <c r="H339">
        <v>3</v>
      </c>
      <c r="I339">
        <v>174.9</v>
      </c>
      <c r="J339" s="13">
        <v>0.05</v>
      </c>
      <c r="K339">
        <v>498.45</v>
      </c>
      <c r="L339">
        <v>343.07</v>
      </c>
      <c r="M339">
        <v>155.38</v>
      </c>
      <c r="N339" t="s">
        <v>53</v>
      </c>
    </row>
    <row r="340" spans="1:14" x14ac:dyDescent="0.3">
      <c r="A340" t="s">
        <v>394</v>
      </c>
      <c r="B340" s="1">
        <v>45908</v>
      </c>
      <c r="C340" t="s">
        <v>67</v>
      </c>
      <c r="D340" t="s">
        <v>31</v>
      </c>
      <c r="E340" t="s">
        <v>24</v>
      </c>
      <c r="F340" t="s">
        <v>18</v>
      </c>
      <c r="G340" t="s">
        <v>25</v>
      </c>
      <c r="H340">
        <v>1</v>
      </c>
      <c r="I340">
        <v>175.64</v>
      </c>
      <c r="J340" s="13">
        <v>0.1</v>
      </c>
      <c r="K340">
        <v>158.07</v>
      </c>
      <c r="L340">
        <v>113.97</v>
      </c>
      <c r="M340">
        <v>44.1</v>
      </c>
      <c r="N340" t="s">
        <v>38</v>
      </c>
    </row>
    <row r="341" spans="1:14" x14ac:dyDescent="0.3">
      <c r="A341" t="s">
        <v>395</v>
      </c>
      <c r="B341" s="1">
        <v>45766</v>
      </c>
      <c r="C341" t="s">
        <v>40</v>
      </c>
      <c r="D341" t="s">
        <v>16</v>
      </c>
      <c r="E341" t="s">
        <v>17</v>
      </c>
      <c r="F341" t="s">
        <v>18</v>
      </c>
      <c r="G341" t="s">
        <v>37</v>
      </c>
      <c r="H341">
        <v>1</v>
      </c>
      <c r="I341">
        <v>102.46</v>
      </c>
      <c r="J341" s="13">
        <v>0.1</v>
      </c>
      <c r="K341">
        <v>92.22</v>
      </c>
      <c r="L341">
        <v>73.180000000000007</v>
      </c>
      <c r="M341">
        <v>19.04</v>
      </c>
      <c r="N341" t="s">
        <v>63</v>
      </c>
    </row>
    <row r="342" spans="1:14" x14ac:dyDescent="0.3">
      <c r="A342" t="s">
        <v>396</v>
      </c>
      <c r="B342" s="1">
        <v>45735</v>
      </c>
      <c r="C342" t="s">
        <v>69</v>
      </c>
      <c r="D342" t="s">
        <v>41</v>
      </c>
      <c r="E342" t="s">
        <v>17</v>
      </c>
      <c r="F342" t="s">
        <v>45</v>
      </c>
      <c r="G342" t="s">
        <v>46</v>
      </c>
      <c r="H342">
        <v>4</v>
      </c>
      <c r="I342">
        <v>296.02999999999997</v>
      </c>
      <c r="J342" s="13">
        <v>0.03</v>
      </c>
      <c r="K342">
        <v>1148.5899999999999</v>
      </c>
      <c r="L342">
        <v>692.75</v>
      </c>
      <c r="M342">
        <v>455.84</v>
      </c>
      <c r="N342" t="s">
        <v>53</v>
      </c>
    </row>
    <row r="343" spans="1:14" x14ac:dyDescent="0.3">
      <c r="A343" t="s">
        <v>397</v>
      </c>
      <c r="B343" s="1">
        <v>45996</v>
      </c>
      <c r="C343" t="s">
        <v>30</v>
      </c>
      <c r="D343" t="s">
        <v>31</v>
      </c>
      <c r="E343" t="s">
        <v>17</v>
      </c>
      <c r="F343" t="s">
        <v>45</v>
      </c>
      <c r="G343" t="s">
        <v>25</v>
      </c>
      <c r="H343">
        <v>5</v>
      </c>
      <c r="I343">
        <v>57.25</v>
      </c>
      <c r="J343" s="13">
        <v>0.05</v>
      </c>
      <c r="K343">
        <v>271.95</v>
      </c>
      <c r="L343">
        <v>221.4</v>
      </c>
      <c r="M343">
        <v>50.55</v>
      </c>
      <c r="N343" t="s">
        <v>70</v>
      </c>
    </row>
    <row r="344" spans="1:14" x14ac:dyDescent="0.3">
      <c r="A344" t="s">
        <v>398</v>
      </c>
      <c r="B344" s="1">
        <v>45700</v>
      </c>
      <c r="C344" t="s">
        <v>69</v>
      </c>
      <c r="D344" t="s">
        <v>41</v>
      </c>
      <c r="E344" t="s">
        <v>44</v>
      </c>
      <c r="F344" t="s">
        <v>45</v>
      </c>
      <c r="G344" t="s">
        <v>33</v>
      </c>
      <c r="H344">
        <v>4</v>
      </c>
      <c r="I344">
        <v>305.83999999999997</v>
      </c>
      <c r="J344" s="13">
        <v>0.15</v>
      </c>
      <c r="K344">
        <v>1039.8699999999999</v>
      </c>
      <c r="L344">
        <v>765.03</v>
      </c>
      <c r="M344">
        <v>274.83999999999997</v>
      </c>
      <c r="N344" t="s">
        <v>102</v>
      </c>
    </row>
    <row r="345" spans="1:14" x14ac:dyDescent="0.3">
      <c r="A345" t="s">
        <v>399</v>
      </c>
      <c r="B345" s="1">
        <v>45771</v>
      </c>
      <c r="C345" t="s">
        <v>59</v>
      </c>
      <c r="D345" t="s">
        <v>23</v>
      </c>
      <c r="E345" t="s">
        <v>44</v>
      </c>
      <c r="F345" t="s">
        <v>45</v>
      </c>
      <c r="G345" t="s">
        <v>33</v>
      </c>
      <c r="H345">
        <v>4</v>
      </c>
      <c r="I345">
        <v>34.380000000000003</v>
      </c>
      <c r="J345" s="13">
        <v>0.1</v>
      </c>
      <c r="K345">
        <v>123.76</v>
      </c>
      <c r="L345">
        <v>86.64</v>
      </c>
      <c r="M345">
        <v>37.119999999999997</v>
      </c>
      <c r="N345" t="s">
        <v>63</v>
      </c>
    </row>
    <row r="346" spans="1:14" x14ac:dyDescent="0.3">
      <c r="A346" t="s">
        <v>400</v>
      </c>
      <c r="B346" s="1">
        <v>45940</v>
      </c>
      <c r="C346" t="s">
        <v>22</v>
      </c>
      <c r="D346" t="s">
        <v>23</v>
      </c>
      <c r="E346" t="s">
        <v>17</v>
      </c>
      <c r="F346" t="s">
        <v>18</v>
      </c>
      <c r="G346" t="s">
        <v>50</v>
      </c>
      <c r="H346">
        <v>3</v>
      </c>
      <c r="I346">
        <v>77.38</v>
      </c>
      <c r="J346" s="13">
        <v>0.03</v>
      </c>
      <c r="K346">
        <v>225.18</v>
      </c>
      <c r="L346">
        <v>148.88999999999999</v>
      </c>
      <c r="M346">
        <v>76.290000000000006</v>
      </c>
      <c r="N346" t="s">
        <v>51</v>
      </c>
    </row>
    <row r="347" spans="1:14" x14ac:dyDescent="0.3">
      <c r="A347" t="s">
        <v>401</v>
      </c>
      <c r="B347" s="1">
        <v>45676</v>
      </c>
      <c r="C347" t="s">
        <v>48</v>
      </c>
      <c r="D347" t="s">
        <v>41</v>
      </c>
      <c r="E347" t="s">
        <v>24</v>
      </c>
      <c r="F347" t="s">
        <v>18</v>
      </c>
      <c r="G347" t="s">
        <v>46</v>
      </c>
      <c r="H347">
        <v>1</v>
      </c>
      <c r="I347">
        <v>347.17</v>
      </c>
      <c r="J347" s="13">
        <v>0.03</v>
      </c>
      <c r="K347">
        <v>336.76</v>
      </c>
      <c r="L347">
        <v>207.19</v>
      </c>
      <c r="M347">
        <v>129.57</v>
      </c>
      <c r="N347" t="s">
        <v>34</v>
      </c>
    </row>
    <row r="348" spans="1:14" x14ac:dyDescent="0.3">
      <c r="A348" t="s">
        <v>402</v>
      </c>
      <c r="B348" s="1">
        <v>45872</v>
      </c>
      <c r="C348" t="s">
        <v>15</v>
      </c>
      <c r="D348" t="s">
        <v>16</v>
      </c>
      <c r="E348" t="s">
        <v>17</v>
      </c>
      <c r="F348" t="s">
        <v>45</v>
      </c>
      <c r="G348" t="s">
        <v>33</v>
      </c>
      <c r="H348">
        <v>4</v>
      </c>
      <c r="I348">
        <v>82.23</v>
      </c>
      <c r="J348" s="13">
        <v>0.05</v>
      </c>
      <c r="K348">
        <v>312.48</v>
      </c>
      <c r="L348">
        <v>198.42</v>
      </c>
      <c r="M348">
        <v>114.06</v>
      </c>
      <c r="N348" t="s">
        <v>20</v>
      </c>
    </row>
    <row r="349" spans="1:14" x14ac:dyDescent="0.3">
      <c r="A349" t="s">
        <v>403</v>
      </c>
      <c r="B349" s="1">
        <v>45814</v>
      </c>
      <c r="C349" t="s">
        <v>59</v>
      </c>
      <c r="D349" t="s">
        <v>41</v>
      </c>
      <c r="E349" t="s">
        <v>24</v>
      </c>
      <c r="F349" t="s">
        <v>32</v>
      </c>
      <c r="G349" t="s">
        <v>56</v>
      </c>
      <c r="H349">
        <v>2</v>
      </c>
      <c r="I349">
        <v>30.57</v>
      </c>
      <c r="J349" s="13">
        <v>0.15</v>
      </c>
      <c r="K349">
        <v>51.97</v>
      </c>
      <c r="L349">
        <v>36.28</v>
      </c>
      <c r="M349">
        <v>15.69</v>
      </c>
      <c r="N349" t="s">
        <v>76</v>
      </c>
    </row>
    <row r="350" spans="1:14" x14ac:dyDescent="0.3">
      <c r="A350" t="s">
        <v>404</v>
      </c>
      <c r="B350" s="1">
        <v>45834</v>
      </c>
      <c r="C350" t="s">
        <v>43</v>
      </c>
      <c r="D350" t="s">
        <v>23</v>
      </c>
      <c r="E350" t="s">
        <v>24</v>
      </c>
      <c r="F350" t="s">
        <v>45</v>
      </c>
      <c r="G350" t="s">
        <v>37</v>
      </c>
      <c r="H350">
        <v>1</v>
      </c>
      <c r="I350">
        <v>626.88</v>
      </c>
      <c r="J350" s="13">
        <v>0.05</v>
      </c>
      <c r="K350">
        <v>595.54</v>
      </c>
      <c r="L350">
        <v>389.22</v>
      </c>
      <c r="M350">
        <v>206.32</v>
      </c>
      <c r="N350" t="s">
        <v>76</v>
      </c>
    </row>
    <row r="351" spans="1:14" x14ac:dyDescent="0.3">
      <c r="A351" t="s">
        <v>405</v>
      </c>
      <c r="B351" s="1">
        <v>45952</v>
      </c>
      <c r="C351" t="s">
        <v>104</v>
      </c>
      <c r="D351" t="s">
        <v>16</v>
      </c>
      <c r="E351" t="s">
        <v>24</v>
      </c>
      <c r="F351" t="s">
        <v>32</v>
      </c>
      <c r="G351" t="s">
        <v>79</v>
      </c>
      <c r="H351">
        <v>2</v>
      </c>
      <c r="I351">
        <v>90.6</v>
      </c>
      <c r="J351" s="13">
        <v>0.05</v>
      </c>
      <c r="K351">
        <v>172.14</v>
      </c>
      <c r="L351">
        <v>140.19999999999999</v>
      </c>
      <c r="M351">
        <v>31.94</v>
      </c>
      <c r="N351" t="s">
        <v>51</v>
      </c>
    </row>
    <row r="352" spans="1:14" x14ac:dyDescent="0.3">
      <c r="A352" t="s">
        <v>406</v>
      </c>
      <c r="B352" s="1">
        <v>45966</v>
      </c>
      <c r="C352" t="s">
        <v>15</v>
      </c>
      <c r="D352" t="s">
        <v>41</v>
      </c>
      <c r="E352" t="s">
        <v>17</v>
      </c>
      <c r="F352" t="s">
        <v>18</v>
      </c>
      <c r="G352" t="s">
        <v>79</v>
      </c>
      <c r="H352">
        <v>2</v>
      </c>
      <c r="I352">
        <v>77.94</v>
      </c>
      <c r="J352" s="13">
        <v>0</v>
      </c>
      <c r="K352">
        <v>155.87</v>
      </c>
      <c r="L352">
        <v>107.66</v>
      </c>
      <c r="M352">
        <v>48.21</v>
      </c>
      <c r="N352" t="s">
        <v>60</v>
      </c>
    </row>
    <row r="353" spans="1:14" x14ac:dyDescent="0.3">
      <c r="A353" t="s">
        <v>407</v>
      </c>
      <c r="B353" s="1">
        <v>45915</v>
      </c>
      <c r="C353" t="s">
        <v>22</v>
      </c>
      <c r="D353" t="s">
        <v>31</v>
      </c>
      <c r="E353" t="s">
        <v>24</v>
      </c>
      <c r="F353" t="s">
        <v>18</v>
      </c>
      <c r="G353" t="s">
        <v>50</v>
      </c>
      <c r="H353">
        <v>3</v>
      </c>
      <c r="I353">
        <v>88.51</v>
      </c>
      <c r="J353" s="13">
        <v>0.03</v>
      </c>
      <c r="K353">
        <v>257.57</v>
      </c>
      <c r="L353">
        <v>168.41</v>
      </c>
      <c r="M353">
        <v>89.16</v>
      </c>
      <c r="N353" t="s">
        <v>38</v>
      </c>
    </row>
    <row r="354" spans="1:14" x14ac:dyDescent="0.3">
      <c r="A354" t="s">
        <v>408</v>
      </c>
      <c r="B354" s="1">
        <v>45935</v>
      </c>
      <c r="C354" t="s">
        <v>69</v>
      </c>
      <c r="D354" t="s">
        <v>23</v>
      </c>
      <c r="E354" t="s">
        <v>17</v>
      </c>
      <c r="F354" t="s">
        <v>45</v>
      </c>
      <c r="G354" t="s">
        <v>33</v>
      </c>
      <c r="H354">
        <v>4</v>
      </c>
      <c r="I354">
        <v>304.91000000000003</v>
      </c>
      <c r="J354" s="13">
        <v>0.1</v>
      </c>
      <c r="K354">
        <v>1097.6600000000001</v>
      </c>
      <c r="L354">
        <v>756.81</v>
      </c>
      <c r="M354">
        <v>340.85</v>
      </c>
      <c r="N354" t="s">
        <v>51</v>
      </c>
    </row>
    <row r="355" spans="1:14" x14ac:dyDescent="0.3">
      <c r="A355" t="s">
        <v>409</v>
      </c>
      <c r="B355" s="1">
        <v>45795</v>
      </c>
      <c r="C355" t="s">
        <v>40</v>
      </c>
      <c r="D355" t="s">
        <v>23</v>
      </c>
      <c r="E355" t="s">
        <v>17</v>
      </c>
      <c r="F355" t="s">
        <v>45</v>
      </c>
      <c r="G355" t="s">
        <v>19</v>
      </c>
      <c r="H355">
        <v>6</v>
      </c>
      <c r="I355">
        <v>107.48</v>
      </c>
      <c r="J355" s="13">
        <v>0.05</v>
      </c>
      <c r="K355">
        <v>612.66</v>
      </c>
      <c r="L355">
        <v>495.24</v>
      </c>
      <c r="M355">
        <v>117.42</v>
      </c>
      <c r="N355" t="s">
        <v>72</v>
      </c>
    </row>
    <row r="356" spans="1:14" x14ac:dyDescent="0.3">
      <c r="A356" t="s">
        <v>410</v>
      </c>
      <c r="B356" s="1">
        <v>45901</v>
      </c>
      <c r="C356" t="s">
        <v>40</v>
      </c>
      <c r="D356" t="s">
        <v>16</v>
      </c>
      <c r="E356" t="s">
        <v>24</v>
      </c>
      <c r="F356" t="s">
        <v>45</v>
      </c>
      <c r="G356" t="s">
        <v>46</v>
      </c>
      <c r="H356">
        <v>1</v>
      </c>
      <c r="I356">
        <v>120.49</v>
      </c>
      <c r="J356" s="13">
        <v>0</v>
      </c>
      <c r="K356">
        <v>120.49</v>
      </c>
      <c r="L356">
        <v>80.34</v>
      </c>
      <c r="M356">
        <v>40.15</v>
      </c>
      <c r="N356" t="s">
        <v>38</v>
      </c>
    </row>
    <row r="357" spans="1:14" x14ac:dyDescent="0.3">
      <c r="A357" t="s">
        <v>411</v>
      </c>
      <c r="B357" s="1">
        <v>45930</v>
      </c>
      <c r="C357" t="s">
        <v>30</v>
      </c>
      <c r="D357" t="s">
        <v>16</v>
      </c>
      <c r="E357" t="s">
        <v>17</v>
      </c>
      <c r="F357" t="s">
        <v>18</v>
      </c>
      <c r="G357" t="s">
        <v>33</v>
      </c>
      <c r="H357">
        <v>4</v>
      </c>
      <c r="I357">
        <v>54.28</v>
      </c>
      <c r="J357" s="13">
        <v>0</v>
      </c>
      <c r="K357">
        <v>217.11</v>
      </c>
      <c r="L357">
        <v>151.52000000000001</v>
      </c>
      <c r="M357">
        <v>65.59</v>
      </c>
      <c r="N357" t="s">
        <v>38</v>
      </c>
    </row>
    <row r="358" spans="1:14" x14ac:dyDescent="0.3">
      <c r="A358" t="s">
        <v>412</v>
      </c>
      <c r="B358" s="1">
        <v>45720</v>
      </c>
      <c r="C358" t="s">
        <v>30</v>
      </c>
      <c r="D358" t="s">
        <v>31</v>
      </c>
      <c r="E358" t="s">
        <v>24</v>
      </c>
      <c r="F358" t="s">
        <v>18</v>
      </c>
      <c r="G358" t="s">
        <v>19</v>
      </c>
      <c r="H358">
        <v>5</v>
      </c>
      <c r="I358">
        <v>56.69</v>
      </c>
      <c r="J358" s="13">
        <v>0</v>
      </c>
      <c r="K358">
        <v>283.47000000000003</v>
      </c>
      <c r="L358">
        <v>216.09</v>
      </c>
      <c r="M358">
        <v>67.38</v>
      </c>
      <c r="N358" t="s">
        <v>53</v>
      </c>
    </row>
    <row r="359" spans="1:14" x14ac:dyDescent="0.3">
      <c r="A359" t="s">
        <v>413</v>
      </c>
      <c r="B359" s="1">
        <v>45673</v>
      </c>
      <c r="C359" t="s">
        <v>43</v>
      </c>
      <c r="D359" t="s">
        <v>41</v>
      </c>
      <c r="E359" t="s">
        <v>24</v>
      </c>
      <c r="F359" t="s">
        <v>18</v>
      </c>
      <c r="G359" t="s">
        <v>37</v>
      </c>
      <c r="H359">
        <v>2</v>
      </c>
      <c r="I359">
        <v>602</v>
      </c>
      <c r="J359" s="13">
        <v>0</v>
      </c>
      <c r="K359">
        <v>1204.01</v>
      </c>
      <c r="L359">
        <v>842.1</v>
      </c>
      <c r="M359">
        <v>361.91</v>
      </c>
      <c r="N359" t="s">
        <v>34</v>
      </c>
    </row>
    <row r="360" spans="1:14" x14ac:dyDescent="0.3">
      <c r="A360" t="s">
        <v>414</v>
      </c>
      <c r="B360" s="1">
        <v>46015</v>
      </c>
      <c r="C360" t="s">
        <v>67</v>
      </c>
      <c r="D360" t="s">
        <v>31</v>
      </c>
      <c r="E360" t="s">
        <v>24</v>
      </c>
      <c r="F360" t="s">
        <v>32</v>
      </c>
      <c r="G360" t="s">
        <v>19</v>
      </c>
      <c r="H360">
        <v>6</v>
      </c>
      <c r="I360">
        <v>202.27</v>
      </c>
      <c r="J360" s="13">
        <v>0.05</v>
      </c>
      <c r="K360">
        <v>1152.96</v>
      </c>
      <c r="L360">
        <v>752.53</v>
      </c>
      <c r="M360">
        <v>400.43</v>
      </c>
      <c r="N360" t="s">
        <v>70</v>
      </c>
    </row>
    <row r="361" spans="1:14" x14ac:dyDescent="0.3">
      <c r="A361" t="s">
        <v>415</v>
      </c>
      <c r="B361" s="1">
        <v>45941</v>
      </c>
      <c r="C361" t="s">
        <v>28</v>
      </c>
      <c r="D361" t="s">
        <v>31</v>
      </c>
      <c r="E361" t="s">
        <v>44</v>
      </c>
      <c r="F361" t="s">
        <v>45</v>
      </c>
      <c r="G361" t="s">
        <v>19</v>
      </c>
      <c r="H361">
        <v>6</v>
      </c>
      <c r="I361">
        <v>925.51</v>
      </c>
      <c r="J361" s="13">
        <v>0.05</v>
      </c>
      <c r="K361">
        <v>5275.42</v>
      </c>
      <c r="L361">
        <v>3818.66</v>
      </c>
      <c r="M361">
        <v>1456.76</v>
      </c>
      <c r="N361" t="s">
        <v>51</v>
      </c>
    </row>
    <row r="362" spans="1:14" x14ac:dyDescent="0.3">
      <c r="A362" t="s">
        <v>416</v>
      </c>
      <c r="B362" s="1">
        <v>45825</v>
      </c>
      <c r="C362" t="s">
        <v>67</v>
      </c>
      <c r="D362" t="s">
        <v>23</v>
      </c>
      <c r="E362" t="s">
        <v>17</v>
      </c>
      <c r="F362" t="s">
        <v>18</v>
      </c>
      <c r="G362" t="s">
        <v>46</v>
      </c>
      <c r="H362">
        <v>5</v>
      </c>
      <c r="I362">
        <v>186.63</v>
      </c>
      <c r="J362" s="13">
        <v>0.05</v>
      </c>
      <c r="K362">
        <v>886.5</v>
      </c>
      <c r="L362">
        <v>696.81</v>
      </c>
      <c r="M362">
        <v>189.69</v>
      </c>
      <c r="N362" t="s">
        <v>76</v>
      </c>
    </row>
    <row r="363" spans="1:14" x14ac:dyDescent="0.3">
      <c r="A363" t="s">
        <v>417</v>
      </c>
      <c r="B363" s="1">
        <v>45917</v>
      </c>
      <c r="C363" t="s">
        <v>28</v>
      </c>
      <c r="D363" t="s">
        <v>41</v>
      </c>
      <c r="E363" t="s">
        <v>17</v>
      </c>
      <c r="F363" t="s">
        <v>18</v>
      </c>
      <c r="G363" t="s">
        <v>25</v>
      </c>
      <c r="H363">
        <v>2</v>
      </c>
      <c r="I363">
        <v>1011.7</v>
      </c>
      <c r="J363" s="13">
        <v>0.03</v>
      </c>
      <c r="K363">
        <v>1962.7</v>
      </c>
      <c r="L363">
        <v>1182.44</v>
      </c>
      <c r="M363">
        <v>780.26</v>
      </c>
      <c r="N363" t="s">
        <v>38</v>
      </c>
    </row>
    <row r="364" spans="1:14" x14ac:dyDescent="0.3">
      <c r="A364" t="s">
        <v>418</v>
      </c>
      <c r="B364" s="1">
        <v>45778</v>
      </c>
      <c r="C364" t="s">
        <v>28</v>
      </c>
      <c r="D364" t="s">
        <v>31</v>
      </c>
      <c r="E364" t="s">
        <v>44</v>
      </c>
      <c r="F364" t="s">
        <v>18</v>
      </c>
      <c r="G364" t="s">
        <v>56</v>
      </c>
      <c r="H364">
        <v>2</v>
      </c>
      <c r="I364">
        <v>894.91</v>
      </c>
      <c r="J364" s="13">
        <v>0.3</v>
      </c>
      <c r="K364">
        <v>1700.32</v>
      </c>
      <c r="L364">
        <v>1042.2</v>
      </c>
      <c r="M364">
        <v>658.12</v>
      </c>
      <c r="N364" t="s">
        <v>72</v>
      </c>
    </row>
    <row r="365" spans="1:14" x14ac:dyDescent="0.3">
      <c r="A365" t="s">
        <v>419</v>
      </c>
      <c r="B365" s="1">
        <v>45741</v>
      </c>
      <c r="C365" t="s">
        <v>28</v>
      </c>
      <c r="D365" t="s">
        <v>16</v>
      </c>
      <c r="E365" t="s">
        <v>24</v>
      </c>
      <c r="F365" t="s">
        <v>18</v>
      </c>
      <c r="G365" t="s">
        <v>33</v>
      </c>
      <c r="H365">
        <v>4</v>
      </c>
      <c r="I365">
        <v>890.27</v>
      </c>
      <c r="J365" s="13">
        <v>0.1</v>
      </c>
      <c r="K365">
        <v>3204.98</v>
      </c>
      <c r="L365">
        <v>2645.27</v>
      </c>
      <c r="M365">
        <v>559.71</v>
      </c>
      <c r="N365" t="s">
        <v>53</v>
      </c>
    </row>
    <row r="366" spans="1:14" x14ac:dyDescent="0.3">
      <c r="A366" t="s">
        <v>420</v>
      </c>
      <c r="B366" s="1">
        <v>45709</v>
      </c>
      <c r="C366" t="s">
        <v>43</v>
      </c>
      <c r="D366" t="s">
        <v>23</v>
      </c>
      <c r="E366" t="s">
        <v>17</v>
      </c>
      <c r="F366" t="s">
        <v>18</v>
      </c>
      <c r="G366" t="s">
        <v>19</v>
      </c>
      <c r="H366">
        <v>3</v>
      </c>
      <c r="I366">
        <v>612.97</v>
      </c>
      <c r="J366" s="13">
        <v>0.03</v>
      </c>
      <c r="K366">
        <v>1783.74</v>
      </c>
      <c r="L366">
        <v>1339.66</v>
      </c>
      <c r="M366">
        <v>444.08</v>
      </c>
      <c r="N366" t="s">
        <v>102</v>
      </c>
    </row>
    <row r="367" spans="1:14" x14ac:dyDescent="0.3">
      <c r="A367" t="s">
        <v>421</v>
      </c>
      <c r="B367" s="1">
        <v>45993</v>
      </c>
      <c r="C367" t="s">
        <v>67</v>
      </c>
      <c r="D367" t="s">
        <v>31</v>
      </c>
      <c r="E367" t="s">
        <v>24</v>
      </c>
      <c r="F367" t="s">
        <v>32</v>
      </c>
      <c r="G367" t="s">
        <v>25</v>
      </c>
      <c r="H367">
        <v>3</v>
      </c>
      <c r="I367">
        <v>200.88</v>
      </c>
      <c r="J367" s="13">
        <v>0.03</v>
      </c>
      <c r="K367">
        <v>584.57000000000005</v>
      </c>
      <c r="L367">
        <v>382.26</v>
      </c>
      <c r="M367">
        <v>202.31</v>
      </c>
      <c r="N367" t="s">
        <v>70</v>
      </c>
    </row>
    <row r="368" spans="1:14" x14ac:dyDescent="0.3">
      <c r="A368" t="s">
        <v>422</v>
      </c>
      <c r="B368" s="1">
        <v>45733</v>
      </c>
      <c r="C368" t="s">
        <v>36</v>
      </c>
      <c r="D368" t="s">
        <v>16</v>
      </c>
      <c r="E368" t="s">
        <v>17</v>
      </c>
      <c r="F368" t="s">
        <v>18</v>
      </c>
      <c r="G368" t="s">
        <v>46</v>
      </c>
      <c r="H368">
        <v>1</v>
      </c>
      <c r="I368">
        <v>145.09</v>
      </c>
      <c r="J368" s="13">
        <v>0.1</v>
      </c>
      <c r="K368">
        <v>130.58000000000001</v>
      </c>
      <c r="L368">
        <v>103.8</v>
      </c>
      <c r="M368">
        <v>26.78</v>
      </c>
      <c r="N368" t="s">
        <v>53</v>
      </c>
    </row>
    <row r="369" spans="1:14" x14ac:dyDescent="0.3">
      <c r="A369" t="s">
        <v>423</v>
      </c>
      <c r="B369" s="1">
        <v>45769</v>
      </c>
      <c r="C369" t="s">
        <v>40</v>
      </c>
      <c r="D369" t="s">
        <v>16</v>
      </c>
      <c r="E369" t="s">
        <v>24</v>
      </c>
      <c r="F369" t="s">
        <v>45</v>
      </c>
      <c r="G369" t="s">
        <v>56</v>
      </c>
      <c r="H369">
        <v>4</v>
      </c>
      <c r="I369">
        <v>102.53</v>
      </c>
      <c r="J369" s="13">
        <v>0</v>
      </c>
      <c r="K369">
        <v>410.11</v>
      </c>
      <c r="L369">
        <v>294.77999999999997</v>
      </c>
      <c r="M369">
        <v>115.33</v>
      </c>
      <c r="N369" t="s">
        <v>63</v>
      </c>
    </row>
    <row r="370" spans="1:14" x14ac:dyDescent="0.3">
      <c r="A370" t="s">
        <v>424</v>
      </c>
      <c r="B370" s="1">
        <v>45866</v>
      </c>
      <c r="C370" t="s">
        <v>22</v>
      </c>
      <c r="D370" t="s">
        <v>41</v>
      </c>
      <c r="E370" t="s">
        <v>24</v>
      </c>
      <c r="F370" t="s">
        <v>32</v>
      </c>
      <c r="G370" t="s">
        <v>25</v>
      </c>
      <c r="H370">
        <v>3</v>
      </c>
      <c r="I370">
        <v>88.95</v>
      </c>
      <c r="J370" s="13">
        <v>0</v>
      </c>
      <c r="K370">
        <v>266.85000000000002</v>
      </c>
      <c r="L370">
        <v>159.22999999999999</v>
      </c>
      <c r="M370">
        <v>107.62</v>
      </c>
      <c r="N370" t="s">
        <v>26</v>
      </c>
    </row>
    <row r="371" spans="1:14" x14ac:dyDescent="0.3">
      <c r="A371" t="s">
        <v>425</v>
      </c>
      <c r="B371" s="1">
        <v>45668</v>
      </c>
      <c r="C371" t="s">
        <v>69</v>
      </c>
      <c r="D371" t="s">
        <v>41</v>
      </c>
      <c r="E371" t="s">
        <v>24</v>
      </c>
      <c r="F371" t="s">
        <v>18</v>
      </c>
      <c r="G371" t="s">
        <v>46</v>
      </c>
      <c r="H371">
        <v>3</v>
      </c>
      <c r="I371">
        <v>287.54000000000002</v>
      </c>
      <c r="J371" s="13">
        <v>0</v>
      </c>
      <c r="K371">
        <v>862.62</v>
      </c>
      <c r="L371">
        <v>536.88</v>
      </c>
      <c r="M371">
        <v>325.74</v>
      </c>
      <c r="N371" t="s">
        <v>34</v>
      </c>
    </row>
    <row r="372" spans="1:14" x14ac:dyDescent="0.3">
      <c r="A372" t="s">
        <v>426</v>
      </c>
      <c r="B372" s="1">
        <v>45832</v>
      </c>
      <c r="C372" t="s">
        <v>30</v>
      </c>
      <c r="D372" t="s">
        <v>31</v>
      </c>
      <c r="E372" t="s">
        <v>24</v>
      </c>
      <c r="F372" t="s">
        <v>18</v>
      </c>
      <c r="G372" t="s">
        <v>37</v>
      </c>
      <c r="H372">
        <v>7</v>
      </c>
      <c r="I372">
        <v>51.92</v>
      </c>
      <c r="J372" s="13">
        <v>0.05</v>
      </c>
      <c r="K372">
        <v>345.24</v>
      </c>
      <c r="L372">
        <v>251.25</v>
      </c>
      <c r="M372">
        <v>93.99</v>
      </c>
      <c r="N372" t="s">
        <v>76</v>
      </c>
    </row>
    <row r="373" spans="1:14" x14ac:dyDescent="0.3">
      <c r="A373" t="s">
        <v>427</v>
      </c>
      <c r="B373" s="1">
        <v>45750</v>
      </c>
      <c r="C373" t="s">
        <v>15</v>
      </c>
      <c r="D373" t="s">
        <v>23</v>
      </c>
      <c r="E373" t="s">
        <v>44</v>
      </c>
      <c r="F373" t="s">
        <v>45</v>
      </c>
      <c r="G373" t="s">
        <v>56</v>
      </c>
      <c r="H373">
        <v>1</v>
      </c>
      <c r="I373">
        <v>78.8</v>
      </c>
      <c r="J373" s="13">
        <v>0.03</v>
      </c>
      <c r="K373">
        <v>76.44</v>
      </c>
      <c r="L373">
        <v>54.32</v>
      </c>
      <c r="M373">
        <v>22.12</v>
      </c>
      <c r="N373" t="s">
        <v>63</v>
      </c>
    </row>
    <row r="374" spans="1:14" x14ac:dyDescent="0.3">
      <c r="A374" t="s">
        <v>428</v>
      </c>
      <c r="B374" s="1">
        <v>45982</v>
      </c>
      <c r="C374" t="s">
        <v>69</v>
      </c>
      <c r="D374" t="s">
        <v>41</v>
      </c>
      <c r="E374" t="s">
        <v>44</v>
      </c>
      <c r="F374" t="s">
        <v>18</v>
      </c>
      <c r="G374" t="s">
        <v>50</v>
      </c>
      <c r="H374">
        <v>1</v>
      </c>
      <c r="I374">
        <v>270.88</v>
      </c>
      <c r="J374" s="13">
        <v>0.05</v>
      </c>
      <c r="K374">
        <v>257.33999999999997</v>
      </c>
      <c r="L374">
        <v>168.29</v>
      </c>
      <c r="M374">
        <v>89.05</v>
      </c>
      <c r="N374" t="s">
        <v>60</v>
      </c>
    </row>
    <row r="375" spans="1:14" x14ac:dyDescent="0.3">
      <c r="A375" t="s">
        <v>429</v>
      </c>
      <c r="B375" s="1">
        <v>45864</v>
      </c>
      <c r="C375" t="s">
        <v>43</v>
      </c>
      <c r="D375" t="s">
        <v>31</v>
      </c>
      <c r="E375" t="s">
        <v>17</v>
      </c>
      <c r="F375" t="s">
        <v>45</v>
      </c>
      <c r="G375" t="s">
        <v>33</v>
      </c>
      <c r="H375">
        <v>3</v>
      </c>
      <c r="I375">
        <v>654.28</v>
      </c>
      <c r="J375" s="13">
        <v>0.1</v>
      </c>
      <c r="K375">
        <v>1766.57</v>
      </c>
      <c r="L375">
        <v>1402.75</v>
      </c>
      <c r="M375">
        <v>363.82</v>
      </c>
      <c r="N375" t="s">
        <v>26</v>
      </c>
    </row>
    <row r="376" spans="1:14" x14ac:dyDescent="0.3">
      <c r="A376" t="s">
        <v>430</v>
      </c>
      <c r="B376" s="1">
        <v>45743</v>
      </c>
      <c r="C376" t="s">
        <v>48</v>
      </c>
      <c r="D376" t="s">
        <v>23</v>
      </c>
      <c r="E376" t="s">
        <v>24</v>
      </c>
      <c r="F376" t="s">
        <v>18</v>
      </c>
      <c r="G376" t="s">
        <v>25</v>
      </c>
      <c r="H376">
        <v>4</v>
      </c>
      <c r="I376">
        <v>355.73</v>
      </c>
      <c r="J376" s="13">
        <v>0.1</v>
      </c>
      <c r="K376">
        <v>1280.6300000000001</v>
      </c>
      <c r="L376">
        <v>957.64</v>
      </c>
      <c r="M376">
        <v>322.99</v>
      </c>
      <c r="N376" t="s">
        <v>53</v>
      </c>
    </row>
    <row r="377" spans="1:14" x14ac:dyDescent="0.3">
      <c r="A377" t="s">
        <v>431</v>
      </c>
      <c r="B377" s="1">
        <v>45796</v>
      </c>
      <c r="C377" t="s">
        <v>67</v>
      </c>
      <c r="D377" t="s">
        <v>31</v>
      </c>
      <c r="E377" t="s">
        <v>24</v>
      </c>
      <c r="F377" t="s">
        <v>45</v>
      </c>
      <c r="G377" t="s">
        <v>37</v>
      </c>
      <c r="H377">
        <v>1</v>
      </c>
      <c r="I377">
        <v>188.15</v>
      </c>
      <c r="J377" s="13">
        <v>0.1</v>
      </c>
      <c r="K377">
        <v>169.33</v>
      </c>
      <c r="L377">
        <v>142.34</v>
      </c>
      <c r="M377">
        <v>26.99</v>
      </c>
      <c r="N377" t="s">
        <v>72</v>
      </c>
    </row>
    <row r="378" spans="1:14" x14ac:dyDescent="0.3">
      <c r="A378" t="s">
        <v>432</v>
      </c>
      <c r="B378" s="1">
        <v>45842</v>
      </c>
      <c r="C378" t="s">
        <v>48</v>
      </c>
      <c r="D378" t="s">
        <v>23</v>
      </c>
      <c r="E378" t="s">
        <v>44</v>
      </c>
      <c r="F378" t="s">
        <v>18</v>
      </c>
      <c r="G378" t="s">
        <v>50</v>
      </c>
      <c r="H378">
        <v>1</v>
      </c>
      <c r="I378">
        <v>319.83999999999997</v>
      </c>
      <c r="J378" s="13">
        <v>0.1</v>
      </c>
      <c r="K378">
        <v>287.85000000000002</v>
      </c>
      <c r="L378">
        <v>210.41</v>
      </c>
      <c r="M378">
        <v>77.44</v>
      </c>
      <c r="N378" t="s">
        <v>26</v>
      </c>
    </row>
    <row r="379" spans="1:14" x14ac:dyDescent="0.3">
      <c r="A379" t="s">
        <v>433</v>
      </c>
      <c r="B379" s="1">
        <v>45878</v>
      </c>
      <c r="C379" t="s">
        <v>43</v>
      </c>
      <c r="D379" t="s">
        <v>16</v>
      </c>
      <c r="E379" t="s">
        <v>24</v>
      </c>
      <c r="F379" t="s">
        <v>18</v>
      </c>
      <c r="G379" t="s">
        <v>79</v>
      </c>
      <c r="H379">
        <v>3</v>
      </c>
      <c r="I379">
        <v>613.86</v>
      </c>
      <c r="J379" s="13">
        <v>0.15</v>
      </c>
      <c r="K379">
        <v>1565.34</v>
      </c>
      <c r="L379">
        <v>1153.4000000000001</v>
      </c>
      <c r="M379">
        <v>411.94</v>
      </c>
      <c r="N379" t="s">
        <v>20</v>
      </c>
    </row>
    <row r="380" spans="1:14" x14ac:dyDescent="0.3">
      <c r="A380" t="s">
        <v>434</v>
      </c>
      <c r="B380" s="1">
        <v>45988</v>
      </c>
      <c r="C380" t="s">
        <v>59</v>
      </c>
      <c r="D380" t="s">
        <v>41</v>
      </c>
      <c r="E380" t="s">
        <v>24</v>
      </c>
      <c r="F380" t="s">
        <v>32</v>
      </c>
      <c r="G380" t="s">
        <v>25</v>
      </c>
      <c r="H380">
        <v>1</v>
      </c>
      <c r="I380">
        <v>31.18</v>
      </c>
      <c r="J380" s="13">
        <v>0.03</v>
      </c>
      <c r="K380">
        <v>30.25</v>
      </c>
      <c r="L380">
        <v>20.98</v>
      </c>
      <c r="M380">
        <v>9.27</v>
      </c>
      <c r="N380" t="s">
        <v>60</v>
      </c>
    </row>
    <row r="381" spans="1:14" x14ac:dyDescent="0.3">
      <c r="A381" t="s">
        <v>435</v>
      </c>
      <c r="B381" s="1">
        <v>45974</v>
      </c>
      <c r="C381" t="s">
        <v>30</v>
      </c>
      <c r="D381" t="s">
        <v>23</v>
      </c>
      <c r="E381" t="s">
        <v>17</v>
      </c>
      <c r="F381" t="s">
        <v>18</v>
      </c>
      <c r="G381" t="s">
        <v>19</v>
      </c>
      <c r="H381">
        <v>3</v>
      </c>
      <c r="I381">
        <v>56.78</v>
      </c>
      <c r="J381" s="13">
        <v>0</v>
      </c>
      <c r="K381">
        <v>170.34</v>
      </c>
      <c r="L381">
        <v>126.2</v>
      </c>
      <c r="M381">
        <v>44.14</v>
      </c>
      <c r="N381" t="s">
        <v>60</v>
      </c>
    </row>
    <row r="382" spans="1:14" x14ac:dyDescent="0.3">
      <c r="A382" t="s">
        <v>436</v>
      </c>
      <c r="B382" s="1">
        <v>45866</v>
      </c>
      <c r="C382" t="s">
        <v>15</v>
      </c>
      <c r="D382" t="s">
        <v>16</v>
      </c>
      <c r="E382" t="s">
        <v>17</v>
      </c>
      <c r="F382" t="s">
        <v>45</v>
      </c>
      <c r="G382" t="s">
        <v>56</v>
      </c>
      <c r="H382">
        <v>3</v>
      </c>
      <c r="I382">
        <v>75.72</v>
      </c>
      <c r="J382" s="13">
        <v>0.03</v>
      </c>
      <c r="K382">
        <v>220.35</v>
      </c>
      <c r="L382">
        <v>162.53</v>
      </c>
      <c r="M382">
        <v>57.82</v>
      </c>
      <c r="N382" t="s">
        <v>26</v>
      </c>
    </row>
    <row r="383" spans="1:14" x14ac:dyDescent="0.3">
      <c r="A383" t="s">
        <v>437</v>
      </c>
      <c r="B383" s="1">
        <v>45872</v>
      </c>
      <c r="C383" t="s">
        <v>15</v>
      </c>
      <c r="D383" t="s">
        <v>16</v>
      </c>
      <c r="E383" t="s">
        <v>17</v>
      </c>
      <c r="F383" t="s">
        <v>45</v>
      </c>
      <c r="G383" t="s">
        <v>33</v>
      </c>
      <c r="H383">
        <v>2</v>
      </c>
      <c r="I383">
        <v>77.44</v>
      </c>
      <c r="J383" s="13">
        <v>0.03</v>
      </c>
      <c r="K383">
        <v>150.22999999999999</v>
      </c>
      <c r="L383">
        <v>94.74</v>
      </c>
      <c r="M383">
        <v>55.49</v>
      </c>
      <c r="N383" t="s">
        <v>20</v>
      </c>
    </row>
    <row r="384" spans="1:14" x14ac:dyDescent="0.3">
      <c r="A384" t="s">
        <v>438</v>
      </c>
      <c r="B384" s="1">
        <v>45924</v>
      </c>
      <c r="C384" t="s">
        <v>48</v>
      </c>
      <c r="D384" t="s">
        <v>41</v>
      </c>
      <c r="E384" t="s">
        <v>24</v>
      </c>
      <c r="F384" t="s">
        <v>45</v>
      </c>
      <c r="G384" t="s">
        <v>50</v>
      </c>
      <c r="H384">
        <v>4</v>
      </c>
      <c r="I384">
        <v>342.83</v>
      </c>
      <c r="J384" s="13">
        <v>0.03</v>
      </c>
      <c r="K384">
        <v>1330.19</v>
      </c>
      <c r="L384">
        <v>909.18</v>
      </c>
      <c r="M384">
        <v>421.01</v>
      </c>
      <c r="N384" t="s">
        <v>38</v>
      </c>
    </row>
    <row r="385" spans="1:14" x14ac:dyDescent="0.3">
      <c r="A385" t="s">
        <v>439</v>
      </c>
      <c r="B385" s="1">
        <v>45864</v>
      </c>
      <c r="C385" t="s">
        <v>30</v>
      </c>
      <c r="D385" t="s">
        <v>23</v>
      </c>
      <c r="E385" t="s">
        <v>24</v>
      </c>
      <c r="F385" t="s">
        <v>45</v>
      </c>
      <c r="G385" t="s">
        <v>33</v>
      </c>
      <c r="H385">
        <v>2</v>
      </c>
      <c r="I385">
        <v>51.86</v>
      </c>
      <c r="J385" s="13">
        <v>0.1</v>
      </c>
      <c r="K385">
        <v>93.36</v>
      </c>
      <c r="L385">
        <v>70.680000000000007</v>
      </c>
      <c r="M385">
        <v>22.68</v>
      </c>
      <c r="N385" t="s">
        <v>26</v>
      </c>
    </row>
    <row r="386" spans="1:14" x14ac:dyDescent="0.3">
      <c r="A386" t="s">
        <v>440</v>
      </c>
      <c r="B386" s="1">
        <v>45896</v>
      </c>
      <c r="C386" t="s">
        <v>15</v>
      </c>
      <c r="D386" t="s">
        <v>16</v>
      </c>
      <c r="E386" t="s">
        <v>44</v>
      </c>
      <c r="F386" t="s">
        <v>45</v>
      </c>
      <c r="G386" t="s">
        <v>50</v>
      </c>
      <c r="H386">
        <v>7</v>
      </c>
      <c r="I386">
        <v>74.260000000000005</v>
      </c>
      <c r="J386" s="13">
        <v>0.03</v>
      </c>
      <c r="K386">
        <v>504.24</v>
      </c>
      <c r="L386">
        <v>358.62</v>
      </c>
      <c r="M386">
        <v>145.62</v>
      </c>
      <c r="N386" t="s">
        <v>20</v>
      </c>
    </row>
    <row r="387" spans="1:14" x14ac:dyDescent="0.3">
      <c r="A387" t="s">
        <v>441</v>
      </c>
      <c r="B387" s="1">
        <v>45935</v>
      </c>
      <c r="C387" t="s">
        <v>36</v>
      </c>
      <c r="D387" t="s">
        <v>41</v>
      </c>
      <c r="E387" t="s">
        <v>17</v>
      </c>
      <c r="F387" t="s">
        <v>45</v>
      </c>
      <c r="G387" t="s">
        <v>33</v>
      </c>
      <c r="H387">
        <v>2</v>
      </c>
      <c r="I387">
        <v>154.44999999999999</v>
      </c>
      <c r="J387" s="13">
        <v>0.03</v>
      </c>
      <c r="K387">
        <v>299.64</v>
      </c>
      <c r="L387">
        <v>219.61</v>
      </c>
      <c r="M387">
        <v>80.03</v>
      </c>
      <c r="N387" t="s">
        <v>51</v>
      </c>
    </row>
    <row r="388" spans="1:14" x14ac:dyDescent="0.3">
      <c r="A388" t="s">
        <v>442</v>
      </c>
      <c r="B388" s="1">
        <v>45818</v>
      </c>
      <c r="C388" t="s">
        <v>104</v>
      </c>
      <c r="D388" t="s">
        <v>23</v>
      </c>
      <c r="E388" t="s">
        <v>24</v>
      </c>
      <c r="F388" t="s">
        <v>18</v>
      </c>
      <c r="G388" t="s">
        <v>25</v>
      </c>
      <c r="H388">
        <v>4</v>
      </c>
      <c r="I388">
        <v>104.18</v>
      </c>
      <c r="J388" s="13">
        <v>0.1</v>
      </c>
      <c r="K388">
        <v>375.06</v>
      </c>
      <c r="L388">
        <v>304.02999999999997</v>
      </c>
      <c r="M388">
        <v>71.03</v>
      </c>
      <c r="N388" t="s">
        <v>76</v>
      </c>
    </row>
    <row r="389" spans="1:14" x14ac:dyDescent="0.3">
      <c r="A389" t="s">
        <v>443</v>
      </c>
      <c r="B389" s="1">
        <v>45835</v>
      </c>
      <c r="C389" t="s">
        <v>28</v>
      </c>
      <c r="D389" t="s">
        <v>23</v>
      </c>
      <c r="E389" t="s">
        <v>24</v>
      </c>
      <c r="F389" t="s">
        <v>32</v>
      </c>
      <c r="G389" t="s">
        <v>79</v>
      </c>
      <c r="H389">
        <v>1</v>
      </c>
      <c r="I389">
        <v>1022.05</v>
      </c>
      <c r="J389" s="13">
        <v>0.05</v>
      </c>
      <c r="K389">
        <v>970.94</v>
      </c>
      <c r="L389">
        <v>600.75</v>
      </c>
      <c r="M389">
        <v>370.19</v>
      </c>
      <c r="N389" t="s">
        <v>76</v>
      </c>
    </row>
    <row r="390" spans="1:14" x14ac:dyDescent="0.3">
      <c r="A390" t="s">
        <v>444</v>
      </c>
      <c r="B390" s="1">
        <v>45921</v>
      </c>
      <c r="C390" t="s">
        <v>104</v>
      </c>
      <c r="D390" t="s">
        <v>16</v>
      </c>
      <c r="E390" t="s">
        <v>44</v>
      </c>
      <c r="F390" t="s">
        <v>45</v>
      </c>
      <c r="G390" t="s">
        <v>25</v>
      </c>
      <c r="H390">
        <v>2</v>
      </c>
      <c r="I390">
        <v>99.49</v>
      </c>
      <c r="J390" s="13">
        <v>0.05</v>
      </c>
      <c r="K390">
        <v>189.03</v>
      </c>
      <c r="L390">
        <v>119.16</v>
      </c>
      <c r="M390">
        <v>69.87</v>
      </c>
      <c r="N390" t="s">
        <v>38</v>
      </c>
    </row>
    <row r="391" spans="1:14" x14ac:dyDescent="0.3">
      <c r="A391" t="s">
        <v>445</v>
      </c>
      <c r="B391" s="1">
        <v>46022</v>
      </c>
      <c r="C391" t="s">
        <v>28</v>
      </c>
      <c r="D391" t="s">
        <v>16</v>
      </c>
      <c r="E391" t="s">
        <v>24</v>
      </c>
      <c r="F391" t="s">
        <v>18</v>
      </c>
      <c r="G391" t="s">
        <v>56</v>
      </c>
      <c r="H391">
        <v>2</v>
      </c>
      <c r="I391">
        <v>1044.79</v>
      </c>
      <c r="J391" s="13">
        <v>0.05</v>
      </c>
      <c r="K391">
        <v>1985.1</v>
      </c>
      <c r="L391">
        <v>1549.07</v>
      </c>
      <c r="M391">
        <v>436.03</v>
      </c>
      <c r="N391" t="s">
        <v>70</v>
      </c>
    </row>
    <row r="392" spans="1:14" x14ac:dyDescent="0.3">
      <c r="A392" t="s">
        <v>446</v>
      </c>
      <c r="B392" s="1">
        <v>45961</v>
      </c>
      <c r="C392" t="s">
        <v>59</v>
      </c>
      <c r="D392" t="s">
        <v>31</v>
      </c>
      <c r="E392" t="s">
        <v>24</v>
      </c>
      <c r="F392" t="s">
        <v>18</v>
      </c>
      <c r="G392" t="s">
        <v>25</v>
      </c>
      <c r="H392">
        <v>6</v>
      </c>
      <c r="I392">
        <v>34.950000000000003</v>
      </c>
      <c r="J392" s="13">
        <v>0.1</v>
      </c>
      <c r="K392">
        <v>188.74</v>
      </c>
      <c r="L392">
        <v>138.66</v>
      </c>
      <c r="M392">
        <v>50.08</v>
      </c>
      <c r="N392" t="s">
        <v>51</v>
      </c>
    </row>
    <row r="393" spans="1:14" x14ac:dyDescent="0.3">
      <c r="A393" t="s">
        <v>447</v>
      </c>
      <c r="B393" s="1">
        <v>46012</v>
      </c>
      <c r="C393" t="s">
        <v>43</v>
      </c>
      <c r="D393" t="s">
        <v>16</v>
      </c>
      <c r="E393" t="s">
        <v>17</v>
      </c>
      <c r="F393" t="s">
        <v>32</v>
      </c>
      <c r="G393" t="s">
        <v>37</v>
      </c>
      <c r="H393">
        <v>2</v>
      </c>
      <c r="I393">
        <v>645.55999999999995</v>
      </c>
      <c r="J393" s="13">
        <v>0</v>
      </c>
      <c r="K393">
        <v>1291.1300000000001</v>
      </c>
      <c r="L393">
        <v>880.97</v>
      </c>
      <c r="M393">
        <v>410.16</v>
      </c>
      <c r="N393" t="s">
        <v>70</v>
      </c>
    </row>
    <row r="394" spans="1:14" x14ac:dyDescent="0.3">
      <c r="A394" t="s">
        <v>448</v>
      </c>
      <c r="B394" s="1">
        <v>45718</v>
      </c>
      <c r="C394" t="s">
        <v>15</v>
      </c>
      <c r="D394" t="s">
        <v>16</v>
      </c>
      <c r="E394" t="s">
        <v>17</v>
      </c>
      <c r="F394" t="s">
        <v>45</v>
      </c>
      <c r="G394" t="s">
        <v>46</v>
      </c>
      <c r="H394">
        <v>3</v>
      </c>
      <c r="I394">
        <v>68.540000000000006</v>
      </c>
      <c r="J394" s="13">
        <v>0.05</v>
      </c>
      <c r="K394">
        <v>195.34</v>
      </c>
      <c r="L394">
        <v>147.06</v>
      </c>
      <c r="M394">
        <v>48.28</v>
      </c>
      <c r="N394" t="s">
        <v>53</v>
      </c>
    </row>
    <row r="395" spans="1:14" x14ac:dyDescent="0.3">
      <c r="A395" t="s">
        <v>449</v>
      </c>
      <c r="B395" s="1">
        <v>45708</v>
      </c>
      <c r="C395" t="s">
        <v>43</v>
      </c>
      <c r="D395" t="s">
        <v>31</v>
      </c>
      <c r="E395" t="s">
        <v>44</v>
      </c>
      <c r="F395" t="s">
        <v>45</v>
      </c>
      <c r="G395" t="s">
        <v>50</v>
      </c>
      <c r="H395">
        <v>2</v>
      </c>
      <c r="I395">
        <v>673.21</v>
      </c>
      <c r="J395" s="13">
        <v>0.05</v>
      </c>
      <c r="K395">
        <v>1279.1099999999999</v>
      </c>
      <c r="L395">
        <v>837.92</v>
      </c>
      <c r="M395">
        <v>441.19</v>
      </c>
      <c r="N395" t="s">
        <v>102</v>
      </c>
    </row>
    <row r="396" spans="1:14" x14ac:dyDescent="0.3">
      <c r="A396" t="s">
        <v>450</v>
      </c>
      <c r="B396" s="1">
        <v>45812</v>
      </c>
      <c r="C396" t="s">
        <v>104</v>
      </c>
      <c r="D396" t="s">
        <v>16</v>
      </c>
      <c r="E396" t="s">
        <v>44</v>
      </c>
      <c r="F396" t="s">
        <v>18</v>
      </c>
      <c r="G396" t="s">
        <v>79</v>
      </c>
      <c r="H396">
        <v>3</v>
      </c>
      <c r="I396">
        <v>103.36</v>
      </c>
      <c r="J396" s="13">
        <v>0.1</v>
      </c>
      <c r="K396">
        <v>279.07</v>
      </c>
      <c r="L396">
        <v>231.49</v>
      </c>
      <c r="M396">
        <v>47.58</v>
      </c>
      <c r="N396" t="s">
        <v>76</v>
      </c>
    </row>
    <row r="397" spans="1:14" x14ac:dyDescent="0.3">
      <c r="A397" t="s">
        <v>451</v>
      </c>
      <c r="B397" s="1">
        <v>45996</v>
      </c>
      <c r="C397" t="s">
        <v>69</v>
      </c>
      <c r="D397" t="s">
        <v>31</v>
      </c>
      <c r="E397" t="s">
        <v>17</v>
      </c>
      <c r="F397" t="s">
        <v>45</v>
      </c>
      <c r="G397" t="s">
        <v>46</v>
      </c>
      <c r="H397">
        <v>4</v>
      </c>
      <c r="I397">
        <v>280.02</v>
      </c>
      <c r="J397" s="13">
        <v>0.05</v>
      </c>
      <c r="K397">
        <v>1064.08</v>
      </c>
      <c r="L397">
        <v>794.95</v>
      </c>
      <c r="M397">
        <v>269.13</v>
      </c>
      <c r="N397" t="s">
        <v>70</v>
      </c>
    </row>
    <row r="398" spans="1:14" x14ac:dyDescent="0.3">
      <c r="A398" t="s">
        <v>452</v>
      </c>
      <c r="B398" s="1">
        <v>45769</v>
      </c>
      <c r="C398" t="s">
        <v>30</v>
      </c>
      <c r="D398" t="s">
        <v>31</v>
      </c>
      <c r="E398" t="s">
        <v>17</v>
      </c>
      <c r="F398" t="s">
        <v>45</v>
      </c>
      <c r="G398" t="s">
        <v>33</v>
      </c>
      <c r="H398">
        <v>0</v>
      </c>
      <c r="I398">
        <v>49.97</v>
      </c>
      <c r="J398" s="13">
        <v>0.05</v>
      </c>
      <c r="K398">
        <v>142.4</v>
      </c>
      <c r="L398">
        <v>115.38</v>
      </c>
      <c r="M398">
        <v>27.02</v>
      </c>
      <c r="N398" t="s">
        <v>63</v>
      </c>
    </row>
    <row r="399" spans="1:14" x14ac:dyDescent="0.3">
      <c r="A399" t="s">
        <v>453</v>
      </c>
      <c r="B399" s="1">
        <v>45670</v>
      </c>
      <c r="C399" t="s">
        <v>104</v>
      </c>
      <c r="D399" t="s">
        <v>31</v>
      </c>
      <c r="E399" t="s">
        <v>17</v>
      </c>
      <c r="F399" t="s">
        <v>45</v>
      </c>
      <c r="G399" t="s">
        <v>37</v>
      </c>
      <c r="H399">
        <v>6</v>
      </c>
      <c r="I399">
        <v>98.53</v>
      </c>
      <c r="J399" s="13">
        <v>0.05</v>
      </c>
      <c r="K399">
        <v>561.61</v>
      </c>
      <c r="L399">
        <v>455.62</v>
      </c>
      <c r="M399">
        <v>105.99</v>
      </c>
      <c r="N399" t="s">
        <v>34</v>
      </c>
    </row>
    <row r="400" spans="1:14" x14ac:dyDescent="0.3">
      <c r="A400" t="s">
        <v>454</v>
      </c>
      <c r="B400" s="1">
        <v>45665</v>
      </c>
      <c r="C400" t="s">
        <v>43</v>
      </c>
      <c r="D400" t="s">
        <v>31</v>
      </c>
      <c r="E400" t="s">
        <v>24</v>
      </c>
      <c r="F400" t="s">
        <v>18</v>
      </c>
      <c r="G400" t="s">
        <v>19</v>
      </c>
      <c r="H400">
        <v>3</v>
      </c>
      <c r="I400">
        <v>630.32000000000005</v>
      </c>
      <c r="J400" s="13">
        <v>0.03</v>
      </c>
      <c r="K400">
        <v>1834.22</v>
      </c>
      <c r="L400">
        <v>1116.4100000000001</v>
      </c>
      <c r="M400">
        <v>717.81</v>
      </c>
      <c r="N400" t="s">
        <v>34</v>
      </c>
    </row>
    <row r="401" spans="1:14" x14ac:dyDescent="0.3">
      <c r="A401" t="s">
        <v>455</v>
      </c>
      <c r="B401" s="1">
        <v>45896</v>
      </c>
      <c r="C401" t="s">
        <v>40</v>
      </c>
      <c r="D401" t="s">
        <v>23</v>
      </c>
      <c r="E401" t="s">
        <v>24</v>
      </c>
      <c r="F401" t="s">
        <v>45</v>
      </c>
      <c r="G401" t="s">
        <v>19</v>
      </c>
      <c r="H401">
        <v>4</v>
      </c>
      <c r="I401">
        <v>104.42</v>
      </c>
      <c r="J401" s="13">
        <v>0.05</v>
      </c>
      <c r="K401">
        <v>396.79</v>
      </c>
      <c r="L401">
        <v>284.14999999999998</v>
      </c>
      <c r="M401">
        <v>112.64</v>
      </c>
      <c r="N401" t="s">
        <v>20</v>
      </c>
    </row>
    <row r="402" spans="1:14" x14ac:dyDescent="0.3">
      <c r="A402" t="s">
        <v>456</v>
      </c>
      <c r="B402" s="1">
        <v>45880</v>
      </c>
      <c r="C402" t="s">
        <v>48</v>
      </c>
      <c r="D402" t="s">
        <v>16</v>
      </c>
      <c r="E402" t="s">
        <v>17</v>
      </c>
      <c r="F402" t="s">
        <v>32</v>
      </c>
      <c r="G402" t="s">
        <v>56</v>
      </c>
      <c r="H402">
        <v>1</v>
      </c>
      <c r="I402">
        <v>314.51</v>
      </c>
      <c r="J402" s="13">
        <v>0</v>
      </c>
      <c r="K402">
        <v>314.51</v>
      </c>
      <c r="L402">
        <v>225.9</v>
      </c>
      <c r="M402">
        <v>88.61</v>
      </c>
      <c r="N402" t="s">
        <v>20</v>
      </c>
    </row>
    <row r="403" spans="1:14" x14ac:dyDescent="0.3">
      <c r="A403" t="s">
        <v>457</v>
      </c>
      <c r="B403" s="1">
        <v>45721</v>
      </c>
      <c r="C403" t="s">
        <v>28</v>
      </c>
      <c r="D403" t="s">
        <v>41</v>
      </c>
      <c r="E403" t="s">
        <v>44</v>
      </c>
      <c r="F403" t="s">
        <v>18</v>
      </c>
      <c r="G403" t="s">
        <v>79</v>
      </c>
      <c r="H403">
        <v>1</v>
      </c>
      <c r="I403">
        <v>918.7</v>
      </c>
      <c r="J403" s="13">
        <v>0.15</v>
      </c>
      <c r="K403">
        <v>780.9</v>
      </c>
      <c r="L403">
        <v>682.96</v>
      </c>
      <c r="M403">
        <v>97.94</v>
      </c>
      <c r="N403" t="s">
        <v>53</v>
      </c>
    </row>
    <row r="404" spans="1:14" x14ac:dyDescent="0.3">
      <c r="A404" t="s">
        <v>458</v>
      </c>
      <c r="B404" s="1">
        <v>45873</v>
      </c>
      <c r="C404" t="s">
        <v>67</v>
      </c>
      <c r="D404" t="s">
        <v>41</v>
      </c>
      <c r="E404" t="s">
        <v>24</v>
      </c>
      <c r="F404" t="s">
        <v>18</v>
      </c>
      <c r="G404" t="s">
        <v>33</v>
      </c>
      <c r="H404">
        <v>1</v>
      </c>
      <c r="I404">
        <v>186.82</v>
      </c>
      <c r="J404" s="13">
        <v>0.05</v>
      </c>
      <c r="K404">
        <v>177.48</v>
      </c>
      <c r="L404">
        <v>110.42</v>
      </c>
      <c r="M404">
        <v>67.06</v>
      </c>
      <c r="N404" t="s">
        <v>20</v>
      </c>
    </row>
    <row r="405" spans="1:14" x14ac:dyDescent="0.3">
      <c r="A405" t="s">
        <v>459</v>
      </c>
      <c r="B405" s="1">
        <v>46017</v>
      </c>
      <c r="C405" t="s">
        <v>43</v>
      </c>
      <c r="D405" t="s">
        <v>16</v>
      </c>
      <c r="E405" t="s">
        <v>24</v>
      </c>
      <c r="F405" t="s">
        <v>18</v>
      </c>
      <c r="G405" t="s">
        <v>25</v>
      </c>
      <c r="H405">
        <v>7</v>
      </c>
      <c r="I405">
        <v>652.15</v>
      </c>
      <c r="J405" s="13">
        <v>0.03</v>
      </c>
      <c r="K405">
        <v>4428.1099999999997</v>
      </c>
      <c r="L405">
        <v>2901.89</v>
      </c>
      <c r="M405">
        <v>1526.22</v>
      </c>
      <c r="N405" t="s">
        <v>70</v>
      </c>
    </row>
    <row r="406" spans="1:14" x14ac:dyDescent="0.3">
      <c r="A406" t="s">
        <v>460</v>
      </c>
      <c r="B406" s="1">
        <v>45693</v>
      </c>
      <c r="C406" t="s">
        <v>28</v>
      </c>
      <c r="D406" t="s">
        <v>31</v>
      </c>
      <c r="E406" t="s">
        <v>24</v>
      </c>
      <c r="F406" t="s">
        <v>32</v>
      </c>
      <c r="G406" t="s">
        <v>37</v>
      </c>
      <c r="H406">
        <v>2</v>
      </c>
      <c r="I406">
        <v>1012.06</v>
      </c>
      <c r="J406" s="13">
        <v>0.03</v>
      </c>
      <c r="K406">
        <v>1963.39</v>
      </c>
      <c r="L406">
        <v>1296.44</v>
      </c>
      <c r="M406">
        <v>666.95</v>
      </c>
      <c r="N406" t="s">
        <v>102</v>
      </c>
    </row>
    <row r="407" spans="1:14" x14ac:dyDescent="0.3">
      <c r="A407" t="s">
        <v>461</v>
      </c>
      <c r="B407" s="1">
        <v>45668</v>
      </c>
      <c r="C407" t="s">
        <v>59</v>
      </c>
      <c r="D407" t="s">
        <v>23</v>
      </c>
      <c r="E407" t="s">
        <v>17</v>
      </c>
      <c r="F407" t="s">
        <v>18</v>
      </c>
      <c r="G407" t="s">
        <v>19</v>
      </c>
      <c r="H407">
        <v>1</v>
      </c>
      <c r="I407">
        <v>34.33</v>
      </c>
      <c r="J407" s="13">
        <v>0</v>
      </c>
      <c r="K407">
        <v>34.33</v>
      </c>
      <c r="L407">
        <v>23.24</v>
      </c>
      <c r="M407">
        <v>11.09</v>
      </c>
      <c r="N407" t="s">
        <v>34</v>
      </c>
    </row>
    <row r="408" spans="1:14" x14ac:dyDescent="0.3">
      <c r="A408" t="s">
        <v>462</v>
      </c>
      <c r="B408" s="1">
        <v>46000</v>
      </c>
      <c r="C408" t="s">
        <v>36</v>
      </c>
      <c r="D408" t="s">
        <v>31</v>
      </c>
      <c r="E408" t="s">
        <v>24</v>
      </c>
      <c r="F408" t="s">
        <v>32</v>
      </c>
      <c r="G408" t="s">
        <v>37</v>
      </c>
      <c r="H408">
        <v>1</v>
      </c>
      <c r="I408">
        <v>145.16</v>
      </c>
      <c r="J408" s="13">
        <v>0.05</v>
      </c>
      <c r="K408">
        <v>137.9</v>
      </c>
      <c r="L408">
        <v>92.14</v>
      </c>
      <c r="M408">
        <v>45.76</v>
      </c>
      <c r="N408" t="s">
        <v>70</v>
      </c>
    </row>
    <row r="409" spans="1:14" x14ac:dyDescent="0.3">
      <c r="A409" t="s">
        <v>463</v>
      </c>
      <c r="B409" s="1">
        <v>45833</v>
      </c>
      <c r="C409" t="s">
        <v>67</v>
      </c>
      <c r="D409" t="s">
        <v>41</v>
      </c>
      <c r="E409" t="s">
        <v>17</v>
      </c>
      <c r="F409" t="s">
        <v>45</v>
      </c>
      <c r="G409" t="s">
        <v>46</v>
      </c>
      <c r="H409">
        <v>2</v>
      </c>
      <c r="I409">
        <v>173.17</v>
      </c>
      <c r="J409" s="13">
        <v>0.05</v>
      </c>
      <c r="K409">
        <v>329.01</v>
      </c>
      <c r="L409">
        <v>251.09</v>
      </c>
      <c r="M409">
        <v>77.92</v>
      </c>
      <c r="N409" t="s">
        <v>76</v>
      </c>
    </row>
    <row r="410" spans="1:14" x14ac:dyDescent="0.3">
      <c r="A410" t="s">
        <v>464</v>
      </c>
      <c r="B410" s="1">
        <v>45697</v>
      </c>
      <c r="C410" t="s">
        <v>30</v>
      </c>
      <c r="D410" t="s">
        <v>23</v>
      </c>
      <c r="E410" t="s">
        <v>24</v>
      </c>
      <c r="F410" t="s">
        <v>18</v>
      </c>
      <c r="G410" t="s">
        <v>56</v>
      </c>
      <c r="H410">
        <v>1</v>
      </c>
      <c r="I410">
        <v>49.99</v>
      </c>
      <c r="J410" s="13">
        <v>0.05</v>
      </c>
      <c r="K410">
        <v>47.49</v>
      </c>
      <c r="L410">
        <v>36.65</v>
      </c>
      <c r="M410">
        <v>10.84</v>
      </c>
      <c r="N410" t="s">
        <v>102</v>
      </c>
    </row>
    <row r="411" spans="1:14" x14ac:dyDescent="0.3">
      <c r="A411" t="s">
        <v>465</v>
      </c>
      <c r="B411" s="1">
        <v>45884</v>
      </c>
      <c r="C411" t="s">
        <v>22</v>
      </c>
      <c r="D411" t="s">
        <v>23</v>
      </c>
      <c r="E411" t="s">
        <v>24</v>
      </c>
      <c r="F411" t="s">
        <v>18</v>
      </c>
      <c r="G411" t="s">
        <v>33</v>
      </c>
      <c r="H411">
        <v>3</v>
      </c>
      <c r="I411">
        <v>84.87</v>
      </c>
      <c r="J411" s="13">
        <v>0.1</v>
      </c>
      <c r="K411">
        <v>229.16</v>
      </c>
      <c r="L411">
        <v>166.08</v>
      </c>
      <c r="M411">
        <v>63.08</v>
      </c>
      <c r="N411" t="s">
        <v>20</v>
      </c>
    </row>
    <row r="412" spans="1:14" x14ac:dyDescent="0.3">
      <c r="A412" t="s">
        <v>466</v>
      </c>
      <c r="B412" s="1">
        <v>45734</v>
      </c>
      <c r="C412" t="s">
        <v>15</v>
      </c>
      <c r="D412" t="s">
        <v>31</v>
      </c>
      <c r="E412" t="s">
        <v>17</v>
      </c>
      <c r="F412" t="s">
        <v>32</v>
      </c>
      <c r="G412" t="s">
        <v>25</v>
      </c>
      <c r="H412">
        <v>6</v>
      </c>
      <c r="I412">
        <v>75.209999999999994</v>
      </c>
      <c r="J412" s="13">
        <v>0.1</v>
      </c>
      <c r="K412">
        <v>406.12</v>
      </c>
      <c r="L412">
        <v>335.53</v>
      </c>
      <c r="M412">
        <v>70.59</v>
      </c>
      <c r="N412" t="s">
        <v>53</v>
      </c>
    </row>
    <row r="413" spans="1:14" x14ac:dyDescent="0.3">
      <c r="A413" t="s">
        <v>467</v>
      </c>
      <c r="B413" s="1">
        <v>45777</v>
      </c>
      <c r="C413" t="s">
        <v>30</v>
      </c>
      <c r="D413" t="s">
        <v>23</v>
      </c>
      <c r="E413" t="s">
        <v>24</v>
      </c>
      <c r="F413" t="s">
        <v>32</v>
      </c>
      <c r="G413" t="s">
        <v>79</v>
      </c>
      <c r="H413">
        <v>2</v>
      </c>
      <c r="I413">
        <v>55.58</v>
      </c>
      <c r="J413" s="13">
        <v>0.05</v>
      </c>
      <c r="K413">
        <v>105.6</v>
      </c>
      <c r="L413">
        <v>67.61</v>
      </c>
      <c r="M413">
        <v>37.99</v>
      </c>
      <c r="N413" t="s">
        <v>63</v>
      </c>
    </row>
    <row r="414" spans="1:14" x14ac:dyDescent="0.3">
      <c r="A414" t="s">
        <v>468</v>
      </c>
      <c r="B414" s="1">
        <v>45729</v>
      </c>
      <c r="C414" t="s">
        <v>69</v>
      </c>
      <c r="D414" t="s">
        <v>41</v>
      </c>
      <c r="E414" t="s">
        <v>24</v>
      </c>
      <c r="F414" t="s">
        <v>18</v>
      </c>
      <c r="G414" t="s">
        <v>79</v>
      </c>
      <c r="H414">
        <v>2</v>
      </c>
      <c r="I414">
        <v>298.24</v>
      </c>
      <c r="J414" s="13">
        <v>0.1</v>
      </c>
      <c r="K414">
        <v>536.83000000000004</v>
      </c>
      <c r="L414">
        <v>461.67</v>
      </c>
      <c r="M414">
        <v>75.16</v>
      </c>
      <c r="N414" t="s">
        <v>53</v>
      </c>
    </row>
    <row r="415" spans="1:14" x14ac:dyDescent="0.3">
      <c r="A415" t="s">
        <v>469</v>
      </c>
      <c r="B415" s="1">
        <v>45982</v>
      </c>
      <c r="C415" t="s">
        <v>43</v>
      </c>
      <c r="D415" t="s">
        <v>41</v>
      </c>
      <c r="E415" t="s">
        <v>44</v>
      </c>
      <c r="F415" t="s">
        <v>18</v>
      </c>
      <c r="G415" t="s">
        <v>46</v>
      </c>
      <c r="H415">
        <v>2</v>
      </c>
      <c r="I415">
        <v>668.85</v>
      </c>
      <c r="J415" s="13">
        <v>0.05</v>
      </c>
      <c r="K415">
        <v>1270.82</v>
      </c>
      <c r="L415">
        <v>929.23</v>
      </c>
      <c r="M415">
        <v>341.59</v>
      </c>
      <c r="N415" t="s">
        <v>60</v>
      </c>
    </row>
    <row r="416" spans="1:14" x14ac:dyDescent="0.3">
      <c r="A416" t="s">
        <v>470</v>
      </c>
      <c r="B416" s="1">
        <v>45784</v>
      </c>
      <c r="C416" t="s">
        <v>30</v>
      </c>
      <c r="D416" t="s">
        <v>41</v>
      </c>
      <c r="E416" t="s">
        <v>17</v>
      </c>
      <c r="F416" t="s">
        <v>45</v>
      </c>
      <c r="G416" t="s">
        <v>56</v>
      </c>
      <c r="H416">
        <v>1</v>
      </c>
      <c r="I416">
        <v>59.11</v>
      </c>
      <c r="J416" s="13">
        <v>0.03</v>
      </c>
      <c r="K416">
        <v>57.34</v>
      </c>
      <c r="L416">
        <v>34.29</v>
      </c>
      <c r="M416">
        <v>23.05</v>
      </c>
      <c r="N416" t="s">
        <v>72</v>
      </c>
    </row>
    <row r="417" spans="1:14" x14ac:dyDescent="0.3">
      <c r="A417" t="s">
        <v>471</v>
      </c>
      <c r="B417" s="1">
        <v>45985</v>
      </c>
      <c r="C417" t="s">
        <v>30</v>
      </c>
      <c r="D417" t="s">
        <v>41</v>
      </c>
      <c r="E417" t="s">
        <v>44</v>
      </c>
      <c r="F417" t="s">
        <v>32</v>
      </c>
      <c r="G417" t="s">
        <v>19</v>
      </c>
      <c r="H417">
        <v>3</v>
      </c>
      <c r="I417">
        <v>52.42</v>
      </c>
      <c r="J417" s="13">
        <v>0</v>
      </c>
      <c r="K417">
        <v>157.26</v>
      </c>
      <c r="L417">
        <v>100.45</v>
      </c>
      <c r="M417">
        <v>56.81</v>
      </c>
      <c r="N417" t="s">
        <v>60</v>
      </c>
    </row>
    <row r="418" spans="1:14" x14ac:dyDescent="0.3">
      <c r="A418" t="s">
        <v>472</v>
      </c>
      <c r="B418" s="1">
        <v>45846</v>
      </c>
      <c r="C418" t="s">
        <v>30</v>
      </c>
      <c r="D418" t="s">
        <v>23</v>
      </c>
      <c r="E418" t="s">
        <v>17</v>
      </c>
      <c r="F418" t="s">
        <v>45</v>
      </c>
      <c r="G418" t="s">
        <v>46</v>
      </c>
      <c r="H418">
        <v>6</v>
      </c>
      <c r="I418">
        <v>52.12</v>
      </c>
      <c r="J418" s="13">
        <v>0.05</v>
      </c>
      <c r="K418">
        <v>297.08</v>
      </c>
      <c r="L418">
        <v>210.54</v>
      </c>
      <c r="M418">
        <v>86.54</v>
      </c>
      <c r="N418" t="s">
        <v>26</v>
      </c>
    </row>
    <row r="419" spans="1:14" x14ac:dyDescent="0.3">
      <c r="A419" t="s">
        <v>473</v>
      </c>
      <c r="B419" s="1">
        <v>45926</v>
      </c>
      <c r="C419" t="s">
        <v>40</v>
      </c>
      <c r="D419" t="s">
        <v>16</v>
      </c>
      <c r="E419" t="s">
        <v>24</v>
      </c>
      <c r="F419" t="s">
        <v>18</v>
      </c>
      <c r="G419" t="s">
        <v>46</v>
      </c>
      <c r="H419">
        <v>0</v>
      </c>
      <c r="I419">
        <v>120.99</v>
      </c>
      <c r="J419" s="13">
        <v>0.03</v>
      </c>
      <c r="K419">
        <v>469.44</v>
      </c>
      <c r="L419">
        <v>360.8</v>
      </c>
      <c r="M419">
        <v>108.64</v>
      </c>
      <c r="N419" t="s">
        <v>38</v>
      </c>
    </row>
    <row r="420" spans="1:14" x14ac:dyDescent="0.3">
      <c r="A420" t="s">
        <v>474</v>
      </c>
      <c r="B420" s="1">
        <v>45710</v>
      </c>
      <c r="C420" t="s">
        <v>40</v>
      </c>
      <c r="D420" t="s">
        <v>16</v>
      </c>
      <c r="E420" t="s">
        <v>17</v>
      </c>
      <c r="F420" t="s">
        <v>18</v>
      </c>
      <c r="G420" t="s">
        <v>50</v>
      </c>
      <c r="H420">
        <v>4</v>
      </c>
      <c r="I420">
        <v>103.99</v>
      </c>
      <c r="J420" s="13">
        <v>0.05</v>
      </c>
      <c r="K420">
        <v>395.16</v>
      </c>
      <c r="L420">
        <v>305.61</v>
      </c>
      <c r="M420">
        <v>89.55</v>
      </c>
      <c r="N420" t="s">
        <v>102</v>
      </c>
    </row>
    <row r="421" spans="1:14" x14ac:dyDescent="0.3">
      <c r="A421" t="s">
        <v>475</v>
      </c>
      <c r="B421" s="1">
        <v>45922</v>
      </c>
      <c r="C421" t="s">
        <v>15</v>
      </c>
      <c r="D421" t="s">
        <v>23</v>
      </c>
      <c r="E421" t="s">
        <v>24</v>
      </c>
      <c r="F421" t="s">
        <v>45</v>
      </c>
      <c r="G421" t="s">
        <v>25</v>
      </c>
      <c r="H421">
        <v>1</v>
      </c>
      <c r="I421">
        <v>80.09</v>
      </c>
      <c r="J421" s="13">
        <v>0</v>
      </c>
      <c r="K421">
        <v>80.09</v>
      </c>
      <c r="L421">
        <v>53.64</v>
      </c>
      <c r="M421">
        <v>26.45</v>
      </c>
      <c r="N421" t="s">
        <v>38</v>
      </c>
    </row>
    <row r="422" spans="1:14" x14ac:dyDescent="0.3">
      <c r="A422" t="s">
        <v>476</v>
      </c>
      <c r="B422" s="1">
        <v>45699</v>
      </c>
      <c r="C422" t="s">
        <v>43</v>
      </c>
      <c r="D422" t="s">
        <v>41</v>
      </c>
      <c r="E422" t="s">
        <v>24</v>
      </c>
      <c r="F422" t="s">
        <v>45</v>
      </c>
      <c r="G422" t="s">
        <v>46</v>
      </c>
      <c r="H422">
        <v>6</v>
      </c>
      <c r="I422">
        <v>581.45000000000005</v>
      </c>
      <c r="J422" s="13">
        <v>0.05</v>
      </c>
      <c r="K422">
        <v>3314.28</v>
      </c>
      <c r="L422">
        <v>2449.62</v>
      </c>
      <c r="M422">
        <v>864.66</v>
      </c>
      <c r="N422" t="s">
        <v>102</v>
      </c>
    </row>
    <row r="423" spans="1:14" x14ac:dyDescent="0.3">
      <c r="A423" t="s">
        <v>477</v>
      </c>
      <c r="B423" s="1">
        <v>45999</v>
      </c>
      <c r="C423" t="s">
        <v>67</v>
      </c>
      <c r="D423" t="s">
        <v>41</v>
      </c>
      <c r="E423" t="s">
        <v>24</v>
      </c>
      <c r="F423" t="s">
        <v>45</v>
      </c>
      <c r="G423" t="s">
        <v>79</v>
      </c>
      <c r="H423">
        <v>4</v>
      </c>
      <c r="I423">
        <v>180</v>
      </c>
      <c r="J423" s="13">
        <v>0.05</v>
      </c>
      <c r="K423">
        <v>684.01</v>
      </c>
      <c r="L423">
        <v>551.41</v>
      </c>
      <c r="M423">
        <v>132.6</v>
      </c>
      <c r="N423" t="s">
        <v>70</v>
      </c>
    </row>
    <row r="424" spans="1:14" x14ac:dyDescent="0.3">
      <c r="A424" t="s">
        <v>478</v>
      </c>
      <c r="B424" s="1">
        <v>45772</v>
      </c>
      <c r="C424" t="s">
        <v>36</v>
      </c>
      <c r="D424" t="s">
        <v>41</v>
      </c>
      <c r="E424" t="s">
        <v>17</v>
      </c>
      <c r="F424" t="s">
        <v>32</v>
      </c>
      <c r="G424" t="s">
        <v>33</v>
      </c>
      <c r="H424">
        <v>1</v>
      </c>
      <c r="I424">
        <v>152.97999999999999</v>
      </c>
      <c r="J424" s="13">
        <v>0.03</v>
      </c>
      <c r="K424">
        <v>148.38999999999999</v>
      </c>
      <c r="L424">
        <v>89.65</v>
      </c>
      <c r="M424">
        <v>58.74</v>
      </c>
      <c r="N424" t="s">
        <v>63</v>
      </c>
    </row>
    <row r="425" spans="1:14" x14ac:dyDescent="0.3">
      <c r="A425" t="s">
        <v>479</v>
      </c>
      <c r="B425" s="1">
        <v>45950</v>
      </c>
      <c r="C425" t="s">
        <v>40</v>
      </c>
      <c r="D425" t="s">
        <v>16</v>
      </c>
      <c r="E425" t="s">
        <v>17</v>
      </c>
      <c r="F425" t="s">
        <v>18</v>
      </c>
      <c r="G425" t="s">
        <v>50</v>
      </c>
      <c r="H425">
        <v>1</v>
      </c>
      <c r="I425">
        <v>113.37</v>
      </c>
      <c r="J425" s="13">
        <v>0.03</v>
      </c>
      <c r="K425">
        <v>109.97</v>
      </c>
      <c r="L425">
        <v>79.81</v>
      </c>
      <c r="M425">
        <v>30.16</v>
      </c>
      <c r="N425" t="s">
        <v>51</v>
      </c>
    </row>
    <row r="426" spans="1:14" x14ac:dyDescent="0.3">
      <c r="A426" t="s">
        <v>480</v>
      </c>
      <c r="B426" s="1">
        <v>45904</v>
      </c>
      <c r="C426" t="s">
        <v>59</v>
      </c>
      <c r="D426" t="s">
        <v>23</v>
      </c>
      <c r="E426" t="s">
        <v>44</v>
      </c>
      <c r="F426" t="s">
        <v>18</v>
      </c>
      <c r="G426" t="s">
        <v>79</v>
      </c>
      <c r="H426">
        <v>1</v>
      </c>
      <c r="I426">
        <v>34.97</v>
      </c>
      <c r="J426" s="13">
        <v>0.05</v>
      </c>
      <c r="K426">
        <v>33.22</v>
      </c>
      <c r="L426">
        <v>25.22</v>
      </c>
      <c r="M426">
        <v>8</v>
      </c>
      <c r="N426" t="s">
        <v>38</v>
      </c>
    </row>
    <row r="427" spans="1:14" x14ac:dyDescent="0.3">
      <c r="A427" t="s">
        <v>481</v>
      </c>
      <c r="B427" s="1">
        <v>45754</v>
      </c>
      <c r="C427" t="s">
        <v>69</v>
      </c>
      <c r="D427" t="s">
        <v>16</v>
      </c>
      <c r="E427" t="s">
        <v>44</v>
      </c>
      <c r="F427" t="s">
        <v>32</v>
      </c>
      <c r="G427" t="s">
        <v>37</v>
      </c>
      <c r="H427">
        <v>5</v>
      </c>
      <c r="I427">
        <v>269.54000000000002</v>
      </c>
      <c r="J427" s="13">
        <v>0</v>
      </c>
      <c r="K427">
        <v>1347.69</v>
      </c>
      <c r="L427">
        <v>1048.96</v>
      </c>
      <c r="M427">
        <v>298.73</v>
      </c>
      <c r="N427" t="s">
        <v>63</v>
      </c>
    </row>
    <row r="428" spans="1:14" x14ac:dyDescent="0.3">
      <c r="A428" t="s">
        <v>482</v>
      </c>
      <c r="B428" s="1">
        <v>45799</v>
      </c>
      <c r="C428" t="s">
        <v>43</v>
      </c>
      <c r="D428" t="s">
        <v>31</v>
      </c>
      <c r="E428" t="s">
        <v>24</v>
      </c>
      <c r="F428" t="s">
        <v>18</v>
      </c>
      <c r="G428" t="s">
        <v>37</v>
      </c>
      <c r="H428">
        <v>1</v>
      </c>
      <c r="I428">
        <v>565.66</v>
      </c>
      <c r="J428" s="13">
        <v>0</v>
      </c>
      <c r="K428">
        <v>565.66</v>
      </c>
      <c r="L428">
        <v>395.42</v>
      </c>
      <c r="M428">
        <v>170.24</v>
      </c>
      <c r="N428" t="s">
        <v>72</v>
      </c>
    </row>
    <row r="429" spans="1:14" x14ac:dyDescent="0.3">
      <c r="A429" t="s">
        <v>483</v>
      </c>
      <c r="B429" s="1">
        <v>45868</v>
      </c>
      <c r="C429" t="s">
        <v>28</v>
      </c>
      <c r="D429" t="s">
        <v>16</v>
      </c>
      <c r="E429" t="s">
        <v>24</v>
      </c>
      <c r="F429" t="s">
        <v>18</v>
      </c>
      <c r="G429" t="s">
        <v>79</v>
      </c>
      <c r="H429">
        <v>6</v>
      </c>
      <c r="I429">
        <v>866.42</v>
      </c>
      <c r="J429" s="13">
        <v>0.05</v>
      </c>
      <c r="K429">
        <v>4938.58</v>
      </c>
      <c r="L429">
        <v>3299.02</v>
      </c>
      <c r="M429">
        <v>1639.56</v>
      </c>
      <c r="N429" t="s">
        <v>26</v>
      </c>
    </row>
    <row r="430" spans="1:14" x14ac:dyDescent="0.3">
      <c r="A430" t="s">
        <v>484</v>
      </c>
      <c r="B430" s="1">
        <v>45819</v>
      </c>
      <c r="C430" t="s">
        <v>28</v>
      </c>
      <c r="D430" t="s">
        <v>16</v>
      </c>
      <c r="E430" t="s">
        <v>44</v>
      </c>
      <c r="F430" t="s">
        <v>32</v>
      </c>
      <c r="G430" t="s">
        <v>46</v>
      </c>
      <c r="H430">
        <v>1</v>
      </c>
      <c r="I430">
        <v>856.31</v>
      </c>
      <c r="J430" s="13">
        <v>0.05</v>
      </c>
      <c r="K430">
        <v>813.49</v>
      </c>
      <c r="L430">
        <v>567.08000000000004</v>
      </c>
      <c r="M430">
        <v>246.41</v>
      </c>
      <c r="N430" t="s">
        <v>76</v>
      </c>
    </row>
    <row r="431" spans="1:14" x14ac:dyDescent="0.3">
      <c r="A431" t="s">
        <v>485</v>
      </c>
      <c r="B431" s="1">
        <v>45806</v>
      </c>
      <c r="C431" t="s">
        <v>59</v>
      </c>
      <c r="D431" t="s">
        <v>31</v>
      </c>
      <c r="E431" t="s">
        <v>44</v>
      </c>
      <c r="F431" t="s">
        <v>45</v>
      </c>
      <c r="G431" t="s">
        <v>56</v>
      </c>
      <c r="H431">
        <v>1</v>
      </c>
      <c r="I431">
        <v>30.71</v>
      </c>
      <c r="J431" s="13">
        <v>0.03</v>
      </c>
      <c r="K431">
        <v>29.79</v>
      </c>
      <c r="L431">
        <v>22.3</v>
      </c>
      <c r="M431">
        <v>7.49</v>
      </c>
      <c r="N431" t="s">
        <v>72</v>
      </c>
    </row>
    <row r="432" spans="1:14" x14ac:dyDescent="0.3">
      <c r="A432" t="s">
        <v>486</v>
      </c>
      <c r="B432" s="1">
        <v>45959</v>
      </c>
      <c r="C432" t="s">
        <v>22</v>
      </c>
      <c r="D432" t="s">
        <v>31</v>
      </c>
      <c r="E432" t="s">
        <v>24</v>
      </c>
      <c r="F432" t="s">
        <v>18</v>
      </c>
      <c r="G432" t="s">
        <v>56</v>
      </c>
      <c r="H432">
        <v>2</v>
      </c>
      <c r="I432">
        <v>85.53</v>
      </c>
      <c r="J432" s="13">
        <v>0.05</v>
      </c>
      <c r="K432">
        <v>162.52000000000001</v>
      </c>
      <c r="L432">
        <v>109.48</v>
      </c>
      <c r="M432">
        <v>53.04</v>
      </c>
      <c r="N432" t="s">
        <v>51</v>
      </c>
    </row>
    <row r="433" spans="1:14" x14ac:dyDescent="0.3">
      <c r="A433" t="s">
        <v>487</v>
      </c>
      <c r="B433" s="1">
        <v>45806</v>
      </c>
      <c r="C433" t="s">
        <v>59</v>
      </c>
      <c r="D433" t="s">
        <v>23</v>
      </c>
      <c r="E433" t="s">
        <v>44</v>
      </c>
      <c r="F433" t="s">
        <v>18</v>
      </c>
      <c r="G433" t="s">
        <v>19</v>
      </c>
      <c r="H433">
        <v>1</v>
      </c>
      <c r="I433">
        <v>29.09</v>
      </c>
      <c r="J433" s="13">
        <v>0</v>
      </c>
      <c r="K433">
        <v>29.09</v>
      </c>
      <c r="L433">
        <v>20.25</v>
      </c>
      <c r="M433">
        <v>8.84</v>
      </c>
      <c r="N433" t="s">
        <v>72</v>
      </c>
    </row>
    <row r="434" spans="1:14" x14ac:dyDescent="0.3">
      <c r="A434" t="s">
        <v>488</v>
      </c>
      <c r="B434" s="1">
        <v>45718</v>
      </c>
      <c r="C434" t="s">
        <v>48</v>
      </c>
      <c r="D434" t="s">
        <v>23</v>
      </c>
      <c r="E434" t="s">
        <v>24</v>
      </c>
      <c r="F434" t="s">
        <v>45</v>
      </c>
      <c r="G434" t="s">
        <v>46</v>
      </c>
      <c r="H434">
        <v>2</v>
      </c>
      <c r="I434">
        <v>333.17</v>
      </c>
      <c r="J434" s="13">
        <v>0</v>
      </c>
      <c r="K434">
        <v>666.33</v>
      </c>
      <c r="L434">
        <v>496.63</v>
      </c>
      <c r="M434">
        <v>169.7</v>
      </c>
      <c r="N434" t="s">
        <v>53</v>
      </c>
    </row>
    <row r="435" spans="1:14" x14ac:dyDescent="0.3">
      <c r="A435" t="s">
        <v>489</v>
      </c>
      <c r="B435" s="1">
        <v>45659</v>
      </c>
      <c r="C435" t="s">
        <v>59</v>
      </c>
      <c r="D435" t="s">
        <v>31</v>
      </c>
      <c r="E435" t="s">
        <v>17</v>
      </c>
      <c r="F435" t="s">
        <v>45</v>
      </c>
      <c r="G435" t="s">
        <v>79</v>
      </c>
      <c r="H435">
        <v>3</v>
      </c>
      <c r="I435">
        <v>29.39</v>
      </c>
      <c r="J435" s="13">
        <v>0</v>
      </c>
      <c r="K435">
        <v>88.17</v>
      </c>
      <c r="L435">
        <v>66.930000000000007</v>
      </c>
      <c r="M435">
        <v>21.24</v>
      </c>
      <c r="N435" t="s">
        <v>34</v>
      </c>
    </row>
    <row r="436" spans="1:14" x14ac:dyDescent="0.3">
      <c r="A436" t="s">
        <v>490</v>
      </c>
      <c r="B436" s="1">
        <v>45877</v>
      </c>
      <c r="C436" t="s">
        <v>36</v>
      </c>
      <c r="D436" t="s">
        <v>41</v>
      </c>
      <c r="E436" t="s">
        <v>17</v>
      </c>
      <c r="F436" t="s">
        <v>18</v>
      </c>
      <c r="G436" t="s">
        <v>37</v>
      </c>
      <c r="H436">
        <v>1</v>
      </c>
      <c r="I436">
        <v>133.49</v>
      </c>
      <c r="J436" s="13">
        <v>0.05</v>
      </c>
      <c r="K436">
        <v>126.82</v>
      </c>
      <c r="L436">
        <v>85.34</v>
      </c>
      <c r="M436">
        <v>41.48</v>
      </c>
      <c r="N436" t="s">
        <v>20</v>
      </c>
    </row>
    <row r="437" spans="1:14" x14ac:dyDescent="0.3">
      <c r="A437" t="s">
        <v>491</v>
      </c>
      <c r="B437" s="1">
        <v>45935</v>
      </c>
      <c r="C437" t="s">
        <v>15</v>
      </c>
      <c r="D437" t="s">
        <v>23</v>
      </c>
      <c r="E437" t="s">
        <v>44</v>
      </c>
      <c r="F437" t="s">
        <v>45</v>
      </c>
      <c r="G437" t="s">
        <v>50</v>
      </c>
      <c r="H437">
        <v>1</v>
      </c>
      <c r="I437">
        <v>72.709999999999994</v>
      </c>
      <c r="J437" s="13">
        <v>0</v>
      </c>
      <c r="K437">
        <v>72.709999999999994</v>
      </c>
      <c r="L437">
        <v>52.24</v>
      </c>
      <c r="M437">
        <v>20.47</v>
      </c>
      <c r="N437" t="s">
        <v>51</v>
      </c>
    </row>
    <row r="438" spans="1:14" x14ac:dyDescent="0.3">
      <c r="A438" t="s">
        <v>492</v>
      </c>
      <c r="B438" s="1">
        <v>45865</v>
      </c>
      <c r="C438" t="s">
        <v>36</v>
      </c>
      <c r="D438" t="s">
        <v>23</v>
      </c>
      <c r="E438" t="s">
        <v>24</v>
      </c>
      <c r="F438" t="s">
        <v>18</v>
      </c>
      <c r="G438" t="s">
        <v>25</v>
      </c>
      <c r="H438">
        <v>5</v>
      </c>
      <c r="I438">
        <v>140.91999999999999</v>
      </c>
      <c r="J438" s="13">
        <v>0.1</v>
      </c>
      <c r="K438">
        <v>634.13</v>
      </c>
      <c r="L438">
        <v>475.93</v>
      </c>
      <c r="M438">
        <v>158.19999999999999</v>
      </c>
      <c r="N438" t="s">
        <v>26</v>
      </c>
    </row>
    <row r="439" spans="1:14" x14ac:dyDescent="0.3">
      <c r="A439" t="s">
        <v>493</v>
      </c>
      <c r="B439" s="1">
        <v>45671</v>
      </c>
      <c r="C439" t="s">
        <v>30</v>
      </c>
      <c r="D439" t="s">
        <v>16</v>
      </c>
      <c r="E439" t="s">
        <v>24</v>
      </c>
      <c r="F439" t="s">
        <v>45</v>
      </c>
      <c r="G439" t="s">
        <v>56</v>
      </c>
      <c r="H439">
        <v>2</v>
      </c>
      <c r="I439">
        <v>50.43</v>
      </c>
      <c r="J439" s="13">
        <v>0.05</v>
      </c>
      <c r="K439">
        <v>95.82</v>
      </c>
      <c r="L439">
        <v>75.459999999999994</v>
      </c>
      <c r="M439">
        <v>20.36</v>
      </c>
      <c r="N439" t="s">
        <v>34</v>
      </c>
    </row>
    <row r="440" spans="1:14" x14ac:dyDescent="0.3">
      <c r="A440" t="s">
        <v>494</v>
      </c>
      <c r="B440" s="1">
        <v>45715</v>
      </c>
      <c r="C440" t="s">
        <v>15</v>
      </c>
      <c r="D440" t="s">
        <v>31</v>
      </c>
      <c r="E440" t="s">
        <v>24</v>
      </c>
      <c r="F440" t="s">
        <v>45</v>
      </c>
      <c r="G440" t="s">
        <v>46</v>
      </c>
      <c r="H440">
        <v>2</v>
      </c>
      <c r="I440">
        <v>74.39</v>
      </c>
      <c r="J440" s="13">
        <v>0.1</v>
      </c>
      <c r="K440">
        <v>133.9</v>
      </c>
      <c r="L440">
        <v>89.82</v>
      </c>
      <c r="M440">
        <v>44.08</v>
      </c>
      <c r="N440" t="s">
        <v>102</v>
      </c>
    </row>
    <row r="441" spans="1:14" x14ac:dyDescent="0.3">
      <c r="A441" t="s">
        <v>495</v>
      </c>
      <c r="B441" s="1">
        <v>45930</v>
      </c>
      <c r="C441" t="s">
        <v>104</v>
      </c>
      <c r="D441" t="s">
        <v>31</v>
      </c>
      <c r="E441" t="s">
        <v>17</v>
      </c>
      <c r="F441" t="s">
        <v>18</v>
      </c>
      <c r="G441" t="s">
        <v>19</v>
      </c>
      <c r="H441">
        <v>1</v>
      </c>
      <c r="I441">
        <v>93.25</v>
      </c>
      <c r="J441" s="13">
        <v>0.05</v>
      </c>
      <c r="K441">
        <v>88.58</v>
      </c>
      <c r="L441">
        <v>72.19</v>
      </c>
      <c r="M441">
        <v>16.39</v>
      </c>
      <c r="N441" t="s">
        <v>38</v>
      </c>
    </row>
    <row r="442" spans="1:14" x14ac:dyDescent="0.3">
      <c r="A442" t="s">
        <v>496</v>
      </c>
      <c r="B442" s="1">
        <v>45757</v>
      </c>
      <c r="C442" t="s">
        <v>30</v>
      </c>
      <c r="D442" t="s">
        <v>16</v>
      </c>
      <c r="E442" t="s">
        <v>24</v>
      </c>
      <c r="F442" t="s">
        <v>45</v>
      </c>
      <c r="G442" t="s">
        <v>19</v>
      </c>
      <c r="H442">
        <v>4</v>
      </c>
      <c r="I442">
        <v>55.14</v>
      </c>
      <c r="J442" s="13">
        <v>0</v>
      </c>
      <c r="K442">
        <v>220.54</v>
      </c>
      <c r="L442">
        <v>158.5</v>
      </c>
      <c r="M442">
        <v>62.04</v>
      </c>
      <c r="N442" t="s">
        <v>63</v>
      </c>
    </row>
    <row r="443" spans="1:14" x14ac:dyDescent="0.3">
      <c r="A443" t="s">
        <v>497</v>
      </c>
      <c r="B443" s="1">
        <v>45821</v>
      </c>
      <c r="C443" t="s">
        <v>59</v>
      </c>
      <c r="D443" t="s">
        <v>31</v>
      </c>
      <c r="E443" t="s">
        <v>17</v>
      </c>
      <c r="F443" t="s">
        <v>18</v>
      </c>
      <c r="G443" t="s">
        <v>56</v>
      </c>
      <c r="H443">
        <v>6</v>
      </c>
      <c r="I443">
        <v>31.6</v>
      </c>
      <c r="J443" s="13">
        <v>0.15</v>
      </c>
      <c r="K443">
        <v>161.18</v>
      </c>
      <c r="L443">
        <v>126.83</v>
      </c>
      <c r="M443">
        <v>34.35</v>
      </c>
      <c r="N443" t="s">
        <v>76</v>
      </c>
    </row>
    <row r="444" spans="1:14" x14ac:dyDescent="0.3">
      <c r="A444" t="s">
        <v>498</v>
      </c>
      <c r="B444" s="1">
        <v>45847</v>
      </c>
      <c r="C444" t="s">
        <v>28</v>
      </c>
      <c r="D444" t="s">
        <v>23</v>
      </c>
      <c r="E444" t="s">
        <v>24</v>
      </c>
      <c r="F444" t="s">
        <v>18</v>
      </c>
      <c r="G444" t="s">
        <v>56</v>
      </c>
      <c r="H444">
        <v>1</v>
      </c>
      <c r="I444">
        <v>930.1</v>
      </c>
      <c r="J444" s="13">
        <v>0</v>
      </c>
      <c r="K444">
        <v>930.1</v>
      </c>
      <c r="L444">
        <v>693.35</v>
      </c>
      <c r="M444">
        <v>236.75</v>
      </c>
      <c r="N444" t="s">
        <v>26</v>
      </c>
    </row>
    <row r="445" spans="1:14" x14ac:dyDescent="0.3">
      <c r="A445" t="s">
        <v>499</v>
      </c>
      <c r="B445" s="1">
        <v>45702</v>
      </c>
      <c r="C445" t="s">
        <v>22</v>
      </c>
      <c r="D445" t="s">
        <v>41</v>
      </c>
      <c r="E445" t="s">
        <v>44</v>
      </c>
      <c r="F445" t="s">
        <v>32</v>
      </c>
      <c r="G445" t="s">
        <v>79</v>
      </c>
      <c r="H445">
        <v>2</v>
      </c>
      <c r="I445">
        <v>78.13</v>
      </c>
      <c r="J445" s="13">
        <v>0.15</v>
      </c>
      <c r="K445">
        <v>132.82</v>
      </c>
      <c r="L445">
        <v>98.83</v>
      </c>
      <c r="M445">
        <v>33.99</v>
      </c>
      <c r="N445" t="s">
        <v>102</v>
      </c>
    </row>
    <row r="446" spans="1:14" x14ac:dyDescent="0.3">
      <c r="A446" t="s">
        <v>500</v>
      </c>
      <c r="B446" s="1">
        <v>45854</v>
      </c>
      <c r="C446" t="s">
        <v>15</v>
      </c>
      <c r="D446" t="s">
        <v>31</v>
      </c>
      <c r="E446" t="s">
        <v>24</v>
      </c>
      <c r="F446" t="s">
        <v>45</v>
      </c>
      <c r="G446" t="s">
        <v>79</v>
      </c>
      <c r="H446">
        <v>2</v>
      </c>
      <c r="I446">
        <v>72.25</v>
      </c>
      <c r="J446" s="13">
        <v>0</v>
      </c>
      <c r="K446">
        <v>144.5</v>
      </c>
      <c r="L446">
        <v>92.91</v>
      </c>
      <c r="M446">
        <v>51.59</v>
      </c>
      <c r="N446" t="s">
        <v>26</v>
      </c>
    </row>
    <row r="447" spans="1:14" x14ac:dyDescent="0.3">
      <c r="A447" t="s">
        <v>501</v>
      </c>
      <c r="B447" s="1">
        <v>45765</v>
      </c>
      <c r="C447" t="s">
        <v>48</v>
      </c>
      <c r="D447" t="s">
        <v>23</v>
      </c>
      <c r="E447" t="s">
        <v>17</v>
      </c>
      <c r="F447" t="s">
        <v>18</v>
      </c>
      <c r="G447" t="s">
        <v>37</v>
      </c>
      <c r="H447">
        <v>1</v>
      </c>
      <c r="I447">
        <v>350.75</v>
      </c>
      <c r="J447" s="13">
        <v>0.1</v>
      </c>
      <c r="K447">
        <v>315.67</v>
      </c>
      <c r="L447">
        <v>220.07</v>
      </c>
      <c r="M447">
        <v>95.6</v>
      </c>
      <c r="N447" t="s">
        <v>63</v>
      </c>
    </row>
    <row r="448" spans="1:14" x14ac:dyDescent="0.3">
      <c r="A448" t="s">
        <v>502</v>
      </c>
      <c r="B448" s="1">
        <v>45769</v>
      </c>
      <c r="C448" t="s">
        <v>48</v>
      </c>
      <c r="D448" t="s">
        <v>23</v>
      </c>
      <c r="E448" t="s">
        <v>24</v>
      </c>
      <c r="F448" t="s">
        <v>18</v>
      </c>
      <c r="G448" t="s">
        <v>79</v>
      </c>
      <c r="H448">
        <v>3</v>
      </c>
      <c r="I448">
        <v>338.91</v>
      </c>
      <c r="J448" s="13">
        <v>0.03</v>
      </c>
      <c r="K448">
        <v>986.24</v>
      </c>
      <c r="L448">
        <v>706.24</v>
      </c>
      <c r="M448">
        <v>280</v>
      </c>
      <c r="N448" t="s">
        <v>63</v>
      </c>
    </row>
    <row r="449" spans="1:14" x14ac:dyDescent="0.3">
      <c r="A449" t="s">
        <v>503</v>
      </c>
      <c r="B449" s="1">
        <v>45871</v>
      </c>
      <c r="C449" t="s">
        <v>22</v>
      </c>
      <c r="D449" t="s">
        <v>23</v>
      </c>
      <c r="E449" t="s">
        <v>44</v>
      </c>
      <c r="F449" t="s">
        <v>32</v>
      </c>
      <c r="G449" t="s">
        <v>33</v>
      </c>
      <c r="H449">
        <v>2</v>
      </c>
      <c r="I449">
        <v>88.34</v>
      </c>
      <c r="J449" s="13">
        <v>0</v>
      </c>
      <c r="K449">
        <v>176.69</v>
      </c>
      <c r="L449">
        <v>109.93</v>
      </c>
      <c r="M449">
        <v>66.760000000000005</v>
      </c>
      <c r="N449" t="s">
        <v>20</v>
      </c>
    </row>
    <row r="450" spans="1:14" x14ac:dyDescent="0.3">
      <c r="A450" t="s">
        <v>504</v>
      </c>
      <c r="B450" s="1">
        <v>45733</v>
      </c>
      <c r="C450" t="s">
        <v>15</v>
      </c>
      <c r="D450" t="s">
        <v>16</v>
      </c>
      <c r="E450" t="s">
        <v>17</v>
      </c>
      <c r="F450" t="s">
        <v>18</v>
      </c>
      <c r="G450" t="s">
        <v>79</v>
      </c>
      <c r="H450">
        <v>2</v>
      </c>
      <c r="I450">
        <v>76.790000000000006</v>
      </c>
      <c r="J450" s="13">
        <v>0.1</v>
      </c>
      <c r="K450">
        <v>138.22</v>
      </c>
      <c r="L450">
        <v>119.72</v>
      </c>
      <c r="M450">
        <v>18.5</v>
      </c>
      <c r="N450" t="s">
        <v>53</v>
      </c>
    </row>
    <row r="451" spans="1:14" x14ac:dyDescent="0.3">
      <c r="A451" t="s">
        <v>505</v>
      </c>
      <c r="B451" s="1">
        <v>45913</v>
      </c>
      <c r="C451" t="s">
        <v>43</v>
      </c>
      <c r="D451" t="s">
        <v>16</v>
      </c>
      <c r="E451" t="s">
        <v>24</v>
      </c>
      <c r="F451" t="s">
        <v>18</v>
      </c>
      <c r="G451" t="s">
        <v>56</v>
      </c>
      <c r="H451">
        <v>3</v>
      </c>
      <c r="I451">
        <v>580.47</v>
      </c>
      <c r="J451" s="13">
        <v>0</v>
      </c>
      <c r="K451">
        <v>1741.4</v>
      </c>
      <c r="L451">
        <v>1117.01</v>
      </c>
      <c r="M451">
        <v>624.39</v>
      </c>
      <c r="N451" t="s">
        <v>38</v>
      </c>
    </row>
    <row r="452" spans="1:14" x14ac:dyDescent="0.3">
      <c r="A452" t="s">
        <v>506</v>
      </c>
      <c r="B452" s="1">
        <v>45751</v>
      </c>
      <c r="C452" t="s">
        <v>36</v>
      </c>
      <c r="D452" t="s">
        <v>16</v>
      </c>
      <c r="E452" t="s">
        <v>44</v>
      </c>
      <c r="F452" t="s">
        <v>18</v>
      </c>
      <c r="G452" t="s">
        <v>79</v>
      </c>
      <c r="H452">
        <v>5</v>
      </c>
      <c r="I452">
        <v>143.33000000000001</v>
      </c>
      <c r="J452" s="13">
        <v>0.05</v>
      </c>
      <c r="K452">
        <v>680.8</v>
      </c>
      <c r="L452">
        <v>514.6</v>
      </c>
      <c r="M452">
        <v>166.2</v>
      </c>
      <c r="N452" t="s">
        <v>63</v>
      </c>
    </row>
    <row r="453" spans="1:14" x14ac:dyDescent="0.3">
      <c r="A453" t="s">
        <v>507</v>
      </c>
      <c r="B453" s="1">
        <v>45830</v>
      </c>
      <c r="C453" t="s">
        <v>40</v>
      </c>
      <c r="D453" t="s">
        <v>16</v>
      </c>
      <c r="E453" t="s">
        <v>24</v>
      </c>
      <c r="F453" t="s">
        <v>18</v>
      </c>
      <c r="G453" t="s">
        <v>19</v>
      </c>
      <c r="H453">
        <v>1</v>
      </c>
      <c r="I453">
        <v>102.59</v>
      </c>
      <c r="J453" s="13">
        <v>0</v>
      </c>
      <c r="K453">
        <v>102.59</v>
      </c>
      <c r="L453">
        <v>76.63</v>
      </c>
      <c r="M453">
        <v>25.96</v>
      </c>
      <c r="N453" t="s">
        <v>76</v>
      </c>
    </row>
    <row r="454" spans="1:14" x14ac:dyDescent="0.3">
      <c r="A454" t="s">
        <v>508</v>
      </c>
      <c r="B454" s="1">
        <v>45900</v>
      </c>
      <c r="C454" t="s">
        <v>59</v>
      </c>
      <c r="D454" t="s">
        <v>41</v>
      </c>
      <c r="E454" t="s">
        <v>44</v>
      </c>
      <c r="F454" t="s">
        <v>45</v>
      </c>
      <c r="G454" t="s">
        <v>19</v>
      </c>
      <c r="H454">
        <v>6</v>
      </c>
      <c r="I454">
        <v>29.03</v>
      </c>
      <c r="J454" s="13">
        <v>0</v>
      </c>
      <c r="K454">
        <v>174.18</v>
      </c>
      <c r="L454">
        <v>115.66</v>
      </c>
      <c r="M454">
        <v>58.52</v>
      </c>
      <c r="N454" t="s">
        <v>20</v>
      </c>
    </row>
    <row r="455" spans="1:14" x14ac:dyDescent="0.3">
      <c r="A455" t="s">
        <v>509</v>
      </c>
      <c r="B455" s="1">
        <v>45990</v>
      </c>
      <c r="C455" t="s">
        <v>28</v>
      </c>
      <c r="D455" t="s">
        <v>23</v>
      </c>
      <c r="E455" t="s">
        <v>44</v>
      </c>
      <c r="F455" t="s">
        <v>18</v>
      </c>
      <c r="G455" t="s">
        <v>79</v>
      </c>
      <c r="H455">
        <v>2</v>
      </c>
      <c r="I455">
        <v>1004.6</v>
      </c>
      <c r="J455" s="13">
        <v>0</v>
      </c>
      <c r="K455">
        <v>2009.2</v>
      </c>
      <c r="L455">
        <v>1401.76</v>
      </c>
      <c r="M455">
        <v>607.44000000000005</v>
      </c>
      <c r="N455" t="s">
        <v>60</v>
      </c>
    </row>
    <row r="456" spans="1:14" x14ac:dyDescent="0.3">
      <c r="A456" t="s">
        <v>510</v>
      </c>
      <c r="B456" s="1">
        <v>45720</v>
      </c>
      <c r="C456" t="s">
        <v>36</v>
      </c>
      <c r="D456" t="s">
        <v>23</v>
      </c>
      <c r="E456" t="s">
        <v>24</v>
      </c>
      <c r="F456" t="s">
        <v>18</v>
      </c>
      <c r="G456" t="s">
        <v>79</v>
      </c>
      <c r="H456">
        <v>4</v>
      </c>
      <c r="I456">
        <v>146.91999999999999</v>
      </c>
      <c r="J456" s="13">
        <v>0</v>
      </c>
      <c r="K456">
        <v>587.66</v>
      </c>
      <c r="L456">
        <v>401.16</v>
      </c>
      <c r="M456">
        <v>186.5</v>
      </c>
      <c r="N456" t="s">
        <v>53</v>
      </c>
    </row>
    <row r="457" spans="1:14" x14ac:dyDescent="0.3">
      <c r="A457" t="s">
        <v>511</v>
      </c>
      <c r="B457" s="1">
        <v>45865</v>
      </c>
      <c r="C457" t="s">
        <v>67</v>
      </c>
      <c r="D457" t="s">
        <v>23</v>
      </c>
      <c r="E457" t="s">
        <v>17</v>
      </c>
      <c r="F457" t="s">
        <v>18</v>
      </c>
      <c r="G457" t="s">
        <v>33</v>
      </c>
      <c r="H457">
        <v>1</v>
      </c>
      <c r="I457">
        <v>179.52</v>
      </c>
      <c r="J457" s="13">
        <v>0.1</v>
      </c>
      <c r="K457">
        <v>161.57</v>
      </c>
      <c r="L457">
        <v>137.53</v>
      </c>
      <c r="M457">
        <v>24.04</v>
      </c>
      <c r="N457" t="s">
        <v>26</v>
      </c>
    </row>
    <row r="458" spans="1:14" x14ac:dyDescent="0.3">
      <c r="A458" t="s">
        <v>512</v>
      </c>
      <c r="B458" s="1">
        <v>45950</v>
      </c>
      <c r="C458" t="s">
        <v>59</v>
      </c>
      <c r="D458" t="s">
        <v>31</v>
      </c>
      <c r="E458" t="s">
        <v>24</v>
      </c>
      <c r="F458" t="s">
        <v>18</v>
      </c>
      <c r="G458" t="s">
        <v>25</v>
      </c>
      <c r="H458">
        <v>2</v>
      </c>
      <c r="I458">
        <v>30.59</v>
      </c>
      <c r="J458" s="13">
        <v>0.05</v>
      </c>
      <c r="K458">
        <v>58.12</v>
      </c>
      <c r="L458">
        <v>46.14</v>
      </c>
      <c r="M458">
        <v>11.98</v>
      </c>
      <c r="N458" t="s">
        <v>51</v>
      </c>
    </row>
    <row r="459" spans="1:14" x14ac:dyDescent="0.3">
      <c r="A459" t="s">
        <v>513</v>
      </c>
      <c r="B459" s="1">
        <v>45942</v>
      </c>
      <c r="C459" t="s">
        <v>36</v>
      </c>
      <c r="D459" t="s">
        <v>23</v>
      </c>
      <c r="E459" t="s">
        <v>17</v>
      </c>
      <c r="F459" t="s">
        <v>18</v>
      </c>
      <c r="G459" t="s">
        <v>37</v>
      </c>
      <c r="H459">
        <v>1</v>
      </c>
      <c r="I459">
        <v>136.77000000000001</v>
      </c>
      <c r="J459" s="13">
        <v>0.03</v>
      </c>
      <c r="K459">
        <v>132.66999999999999</v>
      </c>
      <c r="L459">
        <v>104.24</v>
      </c>
      <c r="M459">
        <v>28.43</v>
      </c>
      <c r="N459" t="s">
        <v>51</v>
      </c>
    </row>
    <row r="460" spans="1:14" x14ac:dyDescent="0.3">
      <c r="A460" t="s">
        <v>514</v>
      </c>
      <c r="B460" s="1">
        <v>45691</v>
      </c>
      <c r="C460" t="s">
        <v>15</v>
      </c>
      <c r="D460" t="s">
        <v>31</v>
      </c>
      <c r="E460" t="s">
        <v>24</v>
      </c>
      <c r="F460" t="s">
        <v>32</v>
      </c>
      <c r="G460" t="s">
        <v>33</v>
      </c>
      <c r="H460">
        <v>1</v>
      </c>
      <c r="I460">
        <v>77.7</v>
      </c>
      <c r="J460" s="13">
        <v>0</v>
      </c>
      <c r="K460">
        <v>77.7</v>
      </c>
      <c r="L460">
        <v>51.15</v>
      </c>
      <c r="M460">
        <v>26.55</v>
      </c>
      <c r="N460" t="s">
        <v>102</v>
      </c>
    </row>
    <row r="461" spans="1:14" x14ac:dyDescent="0.3">
      <c r="A461" t="s">
        <v>515</v>
      </c>
      <c r="B461" s="1">
        <v>45727</v>
      </c>
      <c r="C461" t="s">
        <v>48</v>
      </c>
      <c r="D461" t="s">
        <v>23</v>
      </c>
      <c r="E461" t="s">
        <v>17</v>
      </c>
      <c r="F461" t="s">
        <v>45</v>
      </c>
      <c r="G461" t="s">
        <v>50</v>
      </c>
      <c r="H461">
        <v>2</v>
      </c>
      <c r="I461">
        <v>366.91</v>
      </c>
      <c r="J461" s="13">
        <v>0</v>
      </c>
      <c r="K461">
        <v>733.81</v>
      </c>
      <c r="L461">
        <v>485.98</v>
      </c>
      <c r="M461">
        <v>247.83</v>
      </c>
      <c r="N461" t="s">
        <v>53</v>
      </c>
    </row>
    <row r="462" spans="1:14" x14ac:dyDescent="0.3">
      <c r="A462" t="s">
        <v>516</v>
      </c>
      <c r="B462" s="1">
        <v>45935</v>
      </c>
      <c r="C462" t="s">
        <v>36</v>
      </c>
      <c r="D462" t="s">
        <v>41</v>
      </c>
      <c r="E462" t="s">
        <v>24</v>
      </c>
      <c r="F462" t="s">
        <v>32</v>
      </c>
      <c r="G462" t="s">
        <v>56</v>
      </c>
      <c r="H462">
        <v>1</v>
      </c>
      <c r="I462">
        <v>133.56</v>
      </c>
      <c r="J462" s="13">
        <v>0.05</v>
      </c>
      <c r="K462">
        <v>126.88</v>
      </c>
      <c r="L462">
        <v>91.76</v>
      </c>
      <c r="M462">
        <v>35.119999999999997</v>
      </c>
      <c r="N462" t="s">
        <v>51</v>
      </c>
    </row>
    <row r="463" spans="1:14" x14ac:dyDescent="0.3">
      <c r="A463" t="s">
        <v>517</v>
      </c>
      <c r="B463" s="1">
        <v>45820</v>
      </c>
      <c r="C463" t="s">
        <v>43</v>
      </c>
      <c r="D463" t="s">
        <v>31</v>
      </c>
      <c r="E463" t="s">
        <v>17</v>
      </c>
      <c r="F463" t="s">
        <v>45</v>
      </c>
      <c r="G463" t="s">
        <v>46</v>
      </c>
      <c r="H463">
        <v>8</v>
      </c>
      <c r="I463">
        <v>577.37</v>
      </c>
      <c r="J463" s="13">
        <v>0.15</v>
      </c>
      <c r="K463">
        <v>3926.11</v>
      </c>
      <c r="L463">
        <v>3412.31</v>
      </c>
      <c r="M463">
        <v>513.79999999999995</v>
      </c>
      <c r="N463" t="s">
        <v>76</v>
      </c>
    </row>
    <row r="464" spans="1:14" x14ac:dyDescent="0.3">
      <c r="A464" t="s">
        <v>518</v>
      </c>
      <c r="B464" s="1">
        <v>45930</v>
      </c>
      <c r="C464" t="s">
        <v>104</v>
      </c>
      <c r="D464" t="s">
        <v>23</v>
      </c>
      <c r="E464" t="s">
        <v>44</v>
      </c>
      <c r="F464" t="s">
        <v>18</v>
      </c>
      <c r="G464" t="s">
        <v>56</v>
      </c>
      <c r="H464">
        <v>2</v>
      </c>
      <c r="I464">
        <v>97.27</v>
      </c>
      <c r="J464" s="13">
        <v>0.03</v>
      </c>
      <c r="K464">
        <v>188.7</v>
      </c>
      <c r="L464">
        <v>125.68</v>
      </c>
      <c r="M464">
        <v>63.02</v>
      </c>
      <c r="N464" t="s">
        <v>38</v>
      </c>
    </row>
    <row r="465" spans="1:14" x14ac:dyDescent="0.3">
      <c r="A465" t="s">
        <v>519</v>
      </c>
      <c r="B465" s="1">
        <v>45963</v>
      </c>
      <c r="C465" t="s">
        <v>15</v>
      </c>
      <c r="D465" t="s">
        <v>23</v>
      </c>
      <c r="E465" t="s">
        <v>24</v>
      </c>
      <c r="F465" t="s">
        <v>32</v>
      </c>
      <c r="G465" t="s">
        <v>33</v>
      </c>
      <c r="H465">
        <v>1</v>
      </c>
      <c r="I465">
        <v>71.680000000000007</v>
      </c>
      <c r="J465" s="13">
        <v>0</v>
      </c>
      <c r="K465">
        <v>71.680000000000007</v>
      </c>
      <c r="L465">
        <v>50.22</v>
      </c>
      <c r="M465">
        <v>21.46</v>
      </c>
      <c r="N465" t="s">
        <v>60</v>
      </c>
    </row>
    <row r="466" spans="1:14" x14ac:dyDescent="0.3">
      <c r="A466" t="s">
        <v>520</v>
      </c>
      <c r="B466" s="1">
        <v>45917</v>
      </c>
      <c r="C466" t="s">
        <v>30</v>
      </c>
      <c r="D466" t="s">
        <v>23</v>
      </c>
      <c r="E466" t="s">
        <v>24</v>
      </c>
      <c r="F466" t="s">
        <v>18</v>
      </c>
      <c r="G466" t="s">
        <v>37</v>
      </c>
      <c r="H466">
        <v>4</v>
      </c>
      <c r="I466">
        <v>56.67</v>
      </c>
      <c r="J466" s="13">
        <v>0.1</v>
      </c>
      <c r="K466">
        <v>204.02</v>
      </c>
      <c r="L466">
        <v>158.80000000000001</v>
      </c>
      <c r="M466">
        <v>45.22</v>
      </c>
      <c r="N466" t="s">
        <v>38</v>
      </c>
    </row>
    <row r="467" spans="1:14" x14ac:dyDescent="0.3">
      <c r="A467" t="s">
        <v>521</v>
      </c>
      <c r="B467" s="1">
        <v>45962</v>
      </c>
      <c r="C467" t="s">
        <v>22</v>
      </c>
      <c r="D467" t="s">
        <v>23</v>
      </c>
      <c r="E467" t="s">
        <v>24</v>
      </c>
      <c r="F467" t="s">
        <v>18</v>
      </c>
      <c r="G467" t="s">
        <v>33</v>
      </c>
      <c r="H467">
        <v>2</v>
      </c>
      <c r="I467">
        <v>90.9</v>
      </c>
      <c r="J467" s="13">
        <v>0.05</v>
      </c>
      <c r="K467">
        <v>172.7</v>
      </c>
      <c r="L467">
        <v>127.05</v>
      </c>
      <c r="M467">
        <v>45.65</v>
      </c>
      <c r="N467" t="s">
        <v>60</v>
      </c>
    </row>
    <row r="468" spans="1:14" x14ac:dyDescent="0.3">
      <c r="A468" t="s">
        <v>522</v>
      </c>
      <c r="B468" s="1">
        <v>45990</v>
      </c>
      <c r="C468" t="s">
        <v>59</v>
      </c>
      <c r="D468" t="s">
        <v>23</v>
      </c>
      <c r="E468" t="s">
        <v>17</v>
      </c>
      <c r="F468" t="s">
        <v>18</v>
      </c>
      <c r="G468" t="s">
        <v>56</v>
      </c>
      <c r="H468">
        <v>1</v>
      </c>
      <c r="I468">
        <v>33.72</v>
      </c>
      <c r="J468" s="13">
        <v>0.05</v>
      </c>
      <c r="K468">
        <v>32.03</v>
      </c>
      <c r="L468">
        <v>21.13</v>
      </c>
      <c r="M468">
        <v>10.9</v>
      </c>
      <c r="N468" t="s">
        <v>60</v>
      </c>
    </row>
    <row r="469" spans="1:14" x14ac:dyDescent="0.3">
      <c r="A469" t="s">
        <v>523</v>
      </c>
      <c r="B469" s="1">
        <v>45993</v>
      </c>
      <c r="C469" t="s">
        <v>40</v>
      </c>
      <c r="D469" t="s">
        <v>41</v>
      </c>
      <c r="E469" t="s">
        <v>24</v>
      </c>
      <c r="F469" t="s">
        <v>45</v>
      </c>
      <c r="G469" t="s">
        <v>33</v>
      </c>
      <c r="H469">
        <v>1</v>
      </c>
      <c r="I469">
        <v>103.67</v>
      </c>
      <c r="J469" s="13">
        <v>0.05</v>
      </c>
      <c r="K469">
        <v>98.49</v>
      </c>
      <c r="L469">
        <v>62.48</v>
      </c>
      <c r="M469">
        <v>36.01</v>
      </c>
      <c r="N469" t="s">
        <v>70</v>
      </c>
    </row>
    <row r="470" spans="1:14" x14ac:dyDescent="0.3">
      <c r="A470" t="s">
        <v>524</v>
      </c>
      <c r="B470" s="1">
        <v>45933</v>
      </c>
      <c r="C470" t="s">
        <v>59</v>
      </c>
      <c r="D470" t="s">
        <v>16</v>
      </c>
      <c r="E470" t="s">
        <v>17</v>
      </c>
      <c r="F470" t="s">
        <v>18</v>
      </c>
      <c r="G470" t="s">
        <v>33</v>
      </c>
      <c r="H470">
        <v>1</v>
      </c>
      <c r="I470">
        <v>31.78</v>
      </c>
      <c r="J470" s="13">
        <v>0</v>
      </c>
      <c r="K470">
        <v>31.78</v>
      </c>
      <c r="L470">
        <v>20.07</v>
      </c>
      <c r="M470">
        <v>11.71</v>
      </c>
      <c r="N470" t="s">
        <v>51</v>
      </c>
    </row>
    <row r="471" spans="1:14" x14ac:dyDescent="0.3">
      <c r="A471" t="s">
        <v>525</v>
      </c>
      <c r="B471" s="1">
        <v>45672</v>
      </c>
      <c r="C471" t="s">
        <v>22</v>
      </c>
      <c r="D471" t="s">
        <v>23</v>
      </c>
      <c r="E471" t="s">
        <v>17</v>
      </c>
      <c r="F471" t="s">
        <v>18</v>
      </c>
      <c r="G471" t="s">
        <v>46</v>
      </c>
      <c r="H471">
        <v>3</v>
      </c>
      <c r="I471">
        <v>84.87</v>
      </c>
      <c r="J471" s="13">
        <v>0.1</v>
      </c>
      <c r="K471">
        <v>229.16</v>
      </c>
      <c r="L471">
        <v>167.94</v>
      </c>
      <c r="M471">
        <v>61.22</v>
      </c>
      <c r="N471" t="s">
        <v>34</v>
      </c>
    </row>
    <row r="472" spans="1:14" x14ac:dyDescent="0.3">
      <c r="A472" t="s">
        <v>526</v>
      </c>
      <c r="B472" s="1">
        <v>45785</v>
      </c>
      <c r="C472" t="s">
        <v>104</v>
      </c>
      <c r="D472" t="s">
        <v>41</v>
      </c>
      <c r="E472" t="s">
        <v>24</v>
      </c>
      <c r="F472" t="s">
        <v>18</v>
      </c>
      <c r="G472" t="s">
        <v>33</v>
      </c>
      <c r="H472">
        <v>1</v>
      </c>
      <c r="I472">
        <v>86.82</v>
      </c>
      <c r="J472" s="13">
        <v>0.05</v>
      </c>
      <c r="K472">
        <v>82.48</v>
      </c>
      <c r="L472">
        <v>56.28</v>
      </c>
      <c r="M472">
        <v>26.2</v>
      </c>
      <c r="N472" t="s">
        <v>72</v>
      </c>
    </row>
    <row r="473" spans="1:14" x14ac:dyDescent="0.3">
      <c r="A473" t="s">
        <v>527</v>
      </c>
      <c r="B473" s="1">
        <v>45753</v>
      </c>
      <c r="C473" t="s">
        <v>43</v>
      </c>
      <c r="D473" t="s">
        <v>31</v>
      </c>
      <c r="E473" t="s">
        <v>44</v>
      </c>
      <c r="F473" t="s">
        <v>45</v>
      </c>
      <c r="G473" t="s">
        <v>25</v>
      </c>
      <c r="H473">
        <v>4</v>
      </c>
      <c r="I473">
        <v>648.13</v>
      </c>
      <c r="J473" s="13">
        <v>0.15</v>
      </c>
      <c r="K473">
        <v>2203.64</v>
      </c>
      <c r="L473">
        <v>1817.6</v>
      </c>
      <c r="M473">
        <v>386.04</v>
      </c>
      <c r="N473" t="s">
        <v>63</v>
      </c>
    </row>
    <row r="474" spans="1:14" x14ac:dyDescent="0.3">
      <c r="A474" t="s">
        <v>528</v>
      </c>
      <c r="B474" s="1">
        <v>45761</v>
      </c>
      <c r="C474" t="s">
        <v>59</v>
      </c>
      <c r="D474" t="s">
        <v>16</v>
      </c>
      <c r="E474" t="s">
        <v>17</v>
      </c>
      <c r="F474" t="s">
        <v>18</v>
      </c>
      <c r="G474" t="s">
        <v>25</v>
      </c>
      <c r="H474">
        <v>2</v>
      </c>
      <c r="I474">
        <v>28.81</v>
      </c>
      <c r="J474" s="13">
        <v>0</v>
      </c>
      <c r="K474">
        <v>57.61</v>
      </c>
      <c r="L474">
        <v>41.04</v>
      </c>
      <c r="M474">
        <v>16.57</v>
      </c>
      <c r="N474" t="s">
        <v>63</v>
      </c>
    </row>
    <row r="475" spans="1:14" x14ac:dyDescent="0.3">
      <c r="A475" t="s">
        <v>529</v>
      </c>
      <c r="B475" s="1">
        <v>45672</v>
      </c>
      <c r="C475" t="s">
        <v>22</v>
      </c>
      <c r="D475" t="s">
        <v>23</v>
      </c>
      <c r="E475" t="s">
        <v>44</v>
      </c>
      <c r="F475" t="s">
        <v>18</v>
      </c>
      <c r="G475" t="s">
        <v>33</v>
      </c>
      <c r="H475">
        <v>5</v>
      </c>
      <c r="I475">
        <v>91.85</v>
      </c>
      <c r="J475" s="13">
        <v>0</v>
      </c>
      <c r="K475">
        <v>459.23</v>
      </c>
      <c r="L475">
        <v>277.95</v>
      </c>
      <c r="M475">
        <v>181.28</v>
      </c>
      <c r="N475" t="s">
        <v>34</v>
      </c>
    </row>
    <row r="476" spans="1:14" x14ac:dyDescent="0.3">
      <c r="A476" t="s">
        <v>530</v>
      </c>
      <c r="B476" s="1">
        <v>45992</v>
      </c>
      <c r="C476" t="s">
        <v>40</v>
      </c>
      <c r="D476" t="s">
        <v>16</v>
      </c>
      <c r="E476" t="s">
        <v>24</v>
      </c>
      <c r="F476" t="s">
        <v>45</v>
      </c>
      <c r="G476" t="s">
        <v>50</v>
      </c>
      <c r="H476">
        <v>2</v>
      </c>
      <c r="I476">
        <v>101.28</v>
      </c>
      <c r="J476" s="13">
        <v>0.05</v>
      </c>
      <c r="K476">
        <v>192.42</v>
      </c>
      <c r="L476">
        <v>149.07</v>
      </c>
      <c r="M476">
        <v>43.35</v>
      </c>
      <c r="N476" t="s">
        <v>70</v>
      </c>
    </row>
    <row r="477" spans="1:14" x14ac:dyDescent="0.3">
      <c r="A477" t="s">
        <v>531</v>
      </c>
      <c r="B477" s="1">
        <v>45869</v>
      </c>
      <c r="C477" t="s">
        <v>36</v>
      </c>
      <c r="D477" t="s">
        <v>16</v>
      </c>
      <c r="E477" t="s">
        <v>44</v>
      </c>
      <c r="F477" t="s">
        <v>45</v>
      </c>
      <c r="G477" t="s">
        <v>46</v>
      </c>
      <c r="H477">
        <v>1</v>
      </c>
      <c r="I477">
        <v>134.80000000000001</v>
      </c>
      <c r="J477" s="13">
        <v>0.1</v>
      </c>
      <c r="K477">
        <v>121.32</v>
      </c>
      <c r="L477">
        <v>102.3</v>
      </c>
      <c r="M477">
        <v>19.02</v>
      </c>
      <c r="N477" t="s">
        <v>26</v>
      </c>
    </row>
    <row r="478" spans="1:14" x14ac:dyDescent="0.3">
      <c r="A478" t="s">
        <v>532</v>
      </c>
      <c r="B478" s="1">
        <v>45904</v>
      </c>
      <c r="C478" t="s">
        <v>36</v>
      </c>
      <c r="D478" t="s">
        <v>31</v>
      </c>
      <c r="E478" t="s">
        <v>24</v>
      </c>
      <c r="F478" t="s">
        <v>18</v>
      </c>
      <c r="G478" t="s">
        <v>79</v>
      </c>
      <c r="H478">
        <v>3</v>
      </c>
      <c r="I478">
        <v>141.52000000000001</v>
      </c>
      <c r="J478" s="13">
        <v>0.03</v>
      </c>
      <c r="K478">
        <v>411.82</v>
      </c>
      <c r="L478">
        <v>266.64999999999998</v>
      </c>
      <c r="M478">
        <v>145.16999999999999</v>
      </c>
      <c r="N478" t="s">
        <v>38</v>
      </c>
    </row>
    <row r="479" spans="1:14" x14ac:dyDescent="0.3">
      <c r="A479" t="s">
        <v>533</v>
      </c>
      <c r="B479" s="1">
        <v>45677</v>
      </c>
      <c r="C479" t="s">
        <v>48</v>
      </c>
      <c r="D479" t="s">
        <v>41</v>
      </c>
      <c r="E479" t="s">
        <v>17</v>
      </c>
      <c r="F479" t="s">
        <v>18</v>
      </c>
      <c r="G479" t="s">
        <v>56</v>
      </c>
      <c r="H479">
        <v>2</v>
      </c>
      <c r="I479">
        <v>372.42</v>
      </c>
      <c r="J479" s="13">
        <v>0</v>
      </c>
      <c r="K479">
        <v>744.84</v>
      </c>
      <c r="L479">
        <v>441.81</v>
      </c>
      <c r="M479">
        <v>303.02999999999997</v>
      </c>
      <c r="N479" t="s">
        <v>34</v>
      </c>
    </row>
    <row r="480" spans="1:14" x14ac:dyDescent="0.3">
      <c r="A480" t="s">
        <v>534</v>
      </c>
      <c r="B480" s="1">
        <v>45818</v>
      </c>
      <c r="C480" t="s">
        <v>59</v>
      </c>
      <c r="D480" t="s">
        <v>16</v>
      </c>
      <c r="E480" t="s">
        <v>17</v>
      </c>
      <c r="F480" t="s">
        <v>45</v>
      </c>
      <c r="G480" t="s">
        <v>33</v>
      </c>
      <c r="H480">
        <v>4</v>
      </c>
      <c r="I480">
        <v>31.38</v>
      </c>
      <c r="J480" s="13">
        <v>0.05</v>
      </c>
      <c r="K480">
        <v>119.23</v>
      </c>
      <c r="L480">
        <v>80.709999999999994</v>
      </c>
      <c r="M480">
        <v>38.520000000000003</v>
      </c>
      <c r="N480" t="s">
        <v>76</v>
      </c>
    </row>
    <row r="481" spans="1:14" x14ac:dyDescent="0.3">
      <c r="A481" t="s">
        <v>535</v>
      </c>
      <c r="B481" s="1">
        <v>45759</v>
      </c>
      <c r="C481" t="s">
        <v>22</v>
      </c>
      <c r="D481" t="s">
        <v>16</v>
      </c>
      <c r="E481" t="s">
        <v>17</v>
      </c>
      <c r="F481" t="s">
        <v>18</v>
      </c>
      <c r="G481" t="s">
        <v>33</v>
      </c>
      <c r="H481">
        <v>4</v>
      </c>
      <c r="I481">
        <v>88.41</v>
      </c>
      <c r="J481" s="13">
        <v>0.1</v>
      </c>
      <c r="K481">
        <v>318.27999999999997</v>
      </c>
      <c r="L481">
        <v>240.47</v>
      </c>
      <c r="M481">
        <v>77.81</v>
      </c>
      <c r="N481" t="s">
        <v>63</v>
      </c>
    </row>
    <row r="482" spans="1:14" x14ac:dyDescent="0.3">
      <c r="A482" t="s">
        <v>536</v>
      </c>
      <c r="B482" s="1">
        <v>45857</v>
      </c>
      <c r="C482" t="s">
        <v>67</v>
      </c>
      <c r="D482" t="s">
        <v>41</v>
      </c>
      <c r="E482" t="s">
        <v>17</v>
      </c>
      <c r="F482" t="s">
        <v>18</v>
      </c>
      <c r="G482" t="s">
        <v>46</v>
      </c>
      <c r="H482">
        <v>3</v>
      </c>
      <c r="I482">
        <v>182.69</v>
      </c>
      <c r="J482" s="13">
        <v>0.1</v>
      </c>
      <c r="K482">
        <v>493.25</v>
      </c>
      <c r="L482">
        <v>343.36</v>
      </c>
      <c r="M482">
        <v>149.88999999999999</v>
      </c>
      <c r="N482" t="s">
        <v>26</v>
      </c>
    </row>
    <row r="483" spans="1:14" x14ac:dyDescent="0.3">
      <c r="A483" t="s">
        <v>537</v>
      </c>
      <c r="B483" s="1">
        <v>45925</v>
      </c>
      <c r="C483" t="s">
        <v>36</v>
      </c>
      <c r="D483" t="s">
        <v>16</v>
      </c>
      <c r="E483" t="s">
        <v>17</v>
      </c>
      <c r="F483" t="s">
        <v>18</v>
      </c>
      <c r="G483" t="s">
        <v>37</v>
      </c>
      <c r="H483">
        <v>1</v>
      </c>
      <c r="I483">
        <v>146.19999999999999</v>
      </c>
      <c r="J483" s="13">
        <v>0</v>
      </c>
      <c r="K483">
        <v>146.19999999999999</v>
      </c>
      <c r="L483">
        <v>87.88</v>
      </c>
      <c r="M483">
        <v>58.32</v>
      </c>
      <c r="N483" t="s">
        <v>38</v>
      </c>
    </row>
    <row r="484" spans="1:14" x14ac:dyDescent="0.3">
      <c r="A484" t="s">
        <v>538</v>
      </c>
      <c r="B484" s="1">
        <v>45887</v>
      </c>
      <c r="C484" t="s">
        <v>59</v>
      </c>
      <c r="D484" t="s">
        <v>31</v>
      </c>
      <c r="E484" t="s">
        <v>17</v>
      </c>
      <c r="F484" t="s">
        <v>32</v>
      </c>
      <c r="G484" t="s">
        <v>19</v>
      </c>
      <c r="H484">
        <v>3</v>
      </c>
      <c r="I484">
        <v>34.770000000000003</v>
      </c>
      <c r="J484" s="13">
        <v>0.03</v>
      </c>
      <c r="K484">
        <v>101.18</v>
      </c>
      <c r="L484">
        <v>68.819999999999993</v>
      </c>
      <c r="M484">
        <v>32.36</v>
      </c>
      <c r="N484" t="s">
        <v>20</v>
      </c>
    </row>
    <row r="485" spans="1:14" x14ac:dyDescent="0.3">
      <c r="A485" t="s">
        <v>539</v>
      </c>
      <c r="B485" s="1">
        <v>45981</v>
      </c>
      <c r="C485" t="s">
        <v>36</v>
      </c>
      <c r="D485" t="s">
        <v>31</v>
      </c>
      <c r="E485" t="s">
        <v>17</v>
      </c>
      <c r="F485" t="s">
        <v>45</v>
      </c>
      <c r="G485" t="s">
        <v>33</v>
      </c>
      <c r="H485">
        <v>6</v>
      </c>
      <c r="I485">
        <v>134.43</v>
      </c>
      <c r="J485" s="13">
        <v>0</v>
      </c>
      <c r="K485">
        <v>806.61</v>
      </c>
      <c r="L485">
        <v>614.27</v>
      </c>
      <c r="M485">
        <v>192.34</v>
      </c>
      <c r="N485" t="s">
        <v>60</v>
      </c>
    </row>
    <row r="486" spans="1:14" x14ac:dyDescent="0.3">
      <c r="A486" t="s">
        <v>540</v>
      </c>
      <c r="B486" s="1">
        <v>45746</v>
      </c>
      <c r="C486" t="s">
        <v>59</v>
      </c>
      <c r="D486" t="s">
        <v>31</v>
      </c>
      <c r="E486" t="s">
        <v>17</v>
      </c>
      <c r="F486" t="s">
        <v>18</v>
      </c>
      <c r="G486" t="s">
        <v>25</v>
      </c>
      <c r="H486">
        <v>1</v>
      </c>
      <c r="I486">
        <v>34.630000000000003</v>
      </c>
      <c r="J486" s="13">
        <v>0.03</v>
      </c>
      <c r="K486">
        <v>33.590000000000003</v>
      </c>
      <c r="L486">
        <v>20.48</v>
      </c>
      <c r="M486">
        <v>13.11</v>
      </c>
      <c r="N486" t="s">
        <v>53</v>
      </c>
    </row>
    <row r="487" spans="1:14" x14ac:dyDescent="0.3">
      <c r="A487" t="s">
        <v>541</v>
      </c>
      <c r="B487" s="1">
        <v>45872</v>
      </c>
      <c r="C487" t="s">
        <v>40</v>
      </c>
      <c r="D487" t="s">
        <v>31</v>
      </c>
      <c r="E487" t="s">
        <v>24</v>
      </c>
      <c r="F487" t="s">
        <v>45</v>
      </c>
      <c r="G487" t="s">
        <v>46</v>
      </c>
      <c r="H487">
        <v>4</v>
      </c>
      <c r="I487">
        <v>119.47</v>
      </c>
      <c r="J487" s="13">
        <v>0.03</v>
      </c>
      <c r="K487">
        <v>463.56</v>
      </c>
      <c r="L487">
        <v>312.55</v>
      </c>
      <c r="M487">
        <v>151.01</v>
      </c>
      <c r="N487" t="s">
        <v>20</v>
      </c>
    </row>
    <row r="488" spans="1:14" x14ac:dyDescent="0.3">
      <c r="A488" t="s">
        <v>542</v>
      </c>
      <c r="B488" s="1">
        <v>45692</v>
      </c>
      <c r="C488" t="s">
        <v>59</v>
      </c>
      <c r="D488" t="s">
        <v>41</v>
      </c>
      <c r="E488" t="s">
        <v>17</v>
      </c>
      <c r="F488" t="s">
        <v>18</v>
      </c>
      <c r="G488" t="s">
        <v>25</v>
      </c>
      <c r="H488">
        <v>2</v>
      </c>
      <c r="I488">
        <v>34.020000000000003</v>
      </c>
      <c r="J488" s="13">
        <v>0</v>
      </c>
      <c r="K488">
        <v>68.040000000000006</v>
      </c>
      <c r="L488">
        <v>41.72</v>
      </c>
      <c r="M488">
        <v>26.32</v>
      </c>
      <c r="N488" t="s">
        <v>102</v>
      </c>
    </row>
    <row r="489" spans="1:14" x14ac:dyDescent="0.3">
      <c r="A489" t="s">
        <v>543</v>
      </c>
      <c r="B489" s="1">
        <v>45763</v>
      </c>
      <c r="C489" t="s">
        <v>59</v>
      </c>
      <c r="D489" t="s">
        <v>16</v>
      </c>
      <c r="E489" t="s">
        <v>17</v>
      </c>
      <c r="F489" t="s">
        <v>18</v>
      </c>
      <c r="G489" t="s">
        <v>33</v>
      </c>
      <c r="H489">
        <v>1</v>
      </c>
      <c r="I489">
        <v>31.36</v>
      </c>
      <c r="J489" s="13">
        <v>0.1</v>
      </c>
      <c r="K489">
        <v>28.23</v>
      </c>
      <c r="L489">
        <v>20.79</v>
      </c>
      <c r="M489">
        <v>7.44</v>
      </c>
      <c r="N489" t="s">
        <v>63</v>
      </c>
    </row>
    <row r="490" spans="1:14" x14ac:dyDescent="0.3">
      <c r="A490" t="s">
        <v>544</v>
      </c>
      <c r="B490" s="1">
        <v>45826</v>
      </c>
      <c r="C490" t="s">
        <v>15</v>
      </c>
      <c r="D490" t="s">
        <v>41</v>
      </c>
      <c r="E490" t="s">
        <v>17</v>
      </c>
      <c r="F490" t="s">
        <v>45</v>
      </c>
      <c r="G490" t="s">
        <v>56</v>
      </c>
      <c r="H490">
        <v>2</v>
      </c>
      <c r="I490">
        <v>74.33</v>
      </c>
      <c r="J490" s="13">
        <v>0.05</v>
      </c>
      <c r="K490">
        <v>141.22999999999999</v>
      </c>
      <c r="L490">
        <v>90.25</v>
      </c>
      <c r="M490">
        <v>50.98</v>
      </c>
      <c r="N490" t="s">
        <v>76</v>
      </c>
    </row>
    <row r="491" spans="1:14" x14ac:dyDescent="0.3">
      <c r="A491" t="s">
        <v>545</v>
      </c>
      <c r="B491" s="1">
        <v>45661</v>
      </c>
      <c r="C491" t="s">
        <v>69</v>
      </c>
      <c r="D491" t="s">
        <v>31</v>
      </c>
      <c r="E491" t="s">
        <v>17</v>
      </c>
      <c r="F491" t="s">
        <v>45</v>
      </c>
      <c r="G491" t="s">
        <v>33</v>
      </c>
      <c r="H491">
        <v>2</v>
      </c>
      <c r="I491">
        <v>300.62</v>
      </c>
      <c r="J491" s="13">
        <v>0</v>
      </c>
      <c r="K491">
        <v>601.23</v>
      </c>
      <c r="L491">
        <v>429.96</v>
      </c>
      <c r="M491">
        <v>171.27</v>
      </c>
      <c r="N491" t="s">
        <v>34</v>
      </c>
    </row>
    <row r="492" spans="1:14" x14ac:dyDescent="0.3">
      <c r="A492" t="s">
        <v>546</v>
      </c>
      <c r="B492" s="1">
        <v>45949</v>
      </c>
      <c r="C492" t="s">
        <v>36</v>
      </c>
      <c r="D492" t="s">
        <v>41</v>
      </c>
      <c r="E492" t="s">
        <v>17</v>
      </c>
      <c r="F492" t="s">
        <v>45</v>
      </c>
      <c r="G492" t="s">
        <v>19</v>
      </c>
      <c r="H492">
        <v>5</v>
      </c>
      <c r="I492">
        <v>147.76</v>
      </c>
      <c r="J492" s="13">
        <v>0.05</v>
      </c>
      <c r="K492">
        <v>701.87</v>
      </c>
      <c r="L492">
        <v>479.56</v>
      </c>
      <c r="M492">
        <v>222.31</v>
      </c>
      <c r="N492" t="s">
        <v>51</v>
      </c>
    </row>
    <row r="493" spans="1:14" x14ac:dyDescent="0.3">
      <c r="A493" t="s">
        <v>547</v>
      </c>
      <c r="B493" s="1">
        <v>45844</v>
      </c>
      <c r="C493" t="s">
        <v>48</v>
      </c>
      <c r="D493" t="s">
        <v>16</v>
      </c>
      <c r="E493" t="s">
        <v>17</v>
      </c>
      <c r="F493" t="s">
        <v>18</v>
      </c>
      <c r="G493" t="s">
        <v>19</v>
      </c>
      <c r="H493">
        <v>2</v>
      </c>
      <c r="I493">
        <v>332.95</v>
      </c>
      <c r="J493" s="13">
        <v>0</v>
      </c>
      <c r="K493">
        <v>665.9</v>
      </c>
      <c r="L493">
        <v>406.39</v>
      </c>
      <c r="M493">
        <v>259.51</v>
      </c>
      <c r="N493" t="s">
        <v>26</v>
      </c>
    </row>
    <row r="494" spans="1:14" x14ac:dyDescent="0.3">
      <c r="A494" t="s">
        <v>548</v>
      </c>
      <c r="B494" s="1">
        <v>45723</v>
      </c>
      <c r="C494" t="s">
        <v>59</v>
      </c>
      <c r="D494" t="s">
        <v>23</v>
      </c>
      <c r="E494" t="s">
        <v>44</v>
      </c>
      <c r="F494" t="s">
        <v>18</v>
      </c>
      <c r="G494" t="s">
        <v>37</v>
      </c>
      <c r="H494">
        <v>3</v>
      </c>
      <c r="I494">
        <v>31.81</v>
      </c>
      <c r="J494" s="13">
        <v>0</v>
      </c>
      <c r="K494">
        <v>95.42</v>
      </c>
      <c r="L494">
        <v>61.36</v>
      </c>
      <c r="M494">
        <v>34.06</v>
      </c>
      <c r="N494" t="s">
        <v>53</v>
      </c>
    </row>
    <row r="495" spans="1:14" x14ac:dyDescent="0.3">
      <c r="A495" t="s">
        <v>549</v>
      </c>
      <c r="B495" s="1">
        <v>45894</v>
      </c>
      <c r="C495" t="s">
        <v>59</v>
      </c>
      <c r="D495" t="s">
        <v>41</v>
      </c>
      <c r="E495" t="s">
        <v>17</v>
      </c>
      <c r="F495" t="s">
        <v>18</v>
      </c>
      <c r="G495" t="s">
        <v>25</v>
      </c>
      <c r="H495">
        <v>1</v>
      </c>
      <c r="I495">
        <v>34.82</v>
      </c>
      <c r="J495" s="13">
        <v>0.1</v>
      </c>
      <c r="K495">
        <v>31.34</v>
      </c>
      <c r="L495">
        <v>26.96</v>
      </c>
      <c r="M495">
        <v>4.38</v>
      </c>
      <c r="N495" t="s">
        <v>20</v>
      </c>
    </row>
    <row r="496" spans="1:14" x14ac:dyDescent="0.3">
      <c r="A496" t="s">
        <v>550</v>
      </c>
      <c r="B496" s="1">
        <v>45886</v>
      </c>
      <c r="C496" t="s">
        <v>104</v>
      </c>
      <c r="D496" t="s">
        <v>23</v>
      </c>
      <c r="E496" t="s">
        <v>44</v>
      </c>
      <c r="F496" t="s">
        <v>18</v>
      </c>
      <c r="G496" t="s">
        <v>50</v>
      </c>
      <c r="H496">
        <v>8</v>
      </c>
      <c r="I496">
        <v>93.53</v>
      </c>
      <c r="J496" s="13">
        <v>0</v>
      </c>
      <c r="K496">
        <v>748.24</v>
      </c>
      <c r="L496">
        <v>567.92999999999995</v>
      </c>
      <c r="M496">
        <v>180.31</v>
      </c>
      <c r="N496" t="s">
        <v>20</v>
      </c>
    </row>
    <row r="497" spans="1:14" x14ac:dyDescent="0.3">
      <c r="A497" t="s">
        <v>551</v>
      </c>
      <c r="B497" s="1">
        <v>45915</v>
      </c>
      <c r="C497" t="s">
        <v>48</v>
      </c>
      <c r="D497" t="s">
        <v>23</v>
      </c>
      <c r="E497" t="s">
        <v>24</v>
      </c>
      <c r="F497" t="s">
        <v>18</v>
      </c>
      <c r="G497" t="s">
        <v>37</v>
      </c>
      <c r="H497">
        <v>1</v>
      </c>
      <c r="I497">
        <v>306.88</v>
      </c>
      <c r="J497" s="13">
        <v>0.05</v>
      </c>
      <c r="K497">
        <v>291.52999999999997</v>
      </c>
      <c r="L497">
        <v>199.57</v>
      </c>
      <c r="M497">
        <v>91.96</v>
      </c>
      <c r="N497" t="s">
        <v>38</v>
      </c>
    </row>
    <row r="498" spans="1:14" x14ac:dyDescent="0.3">
      <c r="A498" t="s">
        <v>552</v>
      </c>
      <c r="B498" s="1">
        <v>45752</v>
      </c>
      <c r="C498" t="s">
        <v>40</v>
      </c>
      <c r="D498" t="s">
        <v>41</v>
      </c>
      <c r="E498" t="s">
        <v>24</v>
      </c>
      <c r="F498" t="s">
        <v>18</v>
      </c>
      <c r="G498" t="s">
        <v>33</v>
      </c>
      <c r="H498">
        <v>2</v>
      </c>
      <c r="I498">
        <v>118.85</v>
      </c>
      <c r="J498" s="13">
        <v>0</v>
      </c>
      <c r="K498">
        <v>237.71</v>
      </c>
      <c r="L498">
        <v>158.91</v>
      </c>
      <c r="M498">
        <v>78.8</v>
      </c>
      <c r="N498" t="s">
        <v>63</v>
      </c>
    </row>
    <row r="499" spans="1:14" x14ac:dyDescent="0.3">
      <c r="A499" t="s">
        <v>553</v>
      </c>
      <c r="B499" s="1">
        <v>45682</v>
      </c>
      <c r="C499" t="s">
        <v>59</v>
      </c>
      <c r="D499" t="s">
        <v>16</v>
      </c>
      <c r="E499" t="s">
        <v>17</v>
      </c>
      <c r="F499" t="s">
        <v>18</v>
      </c>
      <c r="G499" t="s">
        <v>19</v>
      </c>
      <c r="H499">
        <v>3</v>
      </c>
      <c r="I499">
        <v>33.92</v>
      </c>
      <c r="J499" s="13">
        <v>0.1</v>
      </c>
      <c r="K499">
        <v>91.58</v>
      </c>
      <c r="L499">
        <v>71.87</v>
      </c>
      <c r="M499">
        <v>19.71</v>
      </c>
      <c r="N499" t="s">
        <v>34</v>
      </c>
    </row>
    <row r="500" spans="1:14" x14ac:dyDescent="0.3">
      <c r="A500" t="s">
        <v>554</v>
      </c>
      <c r="B500" s="1">
        <v>45807</v>
      </c>
      <c r="C500" t="s">
        <v>48</v>
      </c>
      <c r="D500" t="s">
        <v>23</v>
      </c>
      <c r="E500" t="s">
        <v>44</v>
      </c>
      <c r="F500" t="s">
        <v>45</v>
      </c>
      <c r="G500" t="s">
        <v>56</v>
      </c>
      <c r="H500">
        <v>2</v>
      </c>
      <c r="I500">
        <v>317.19</v>
      </c>
      <c r="J500" s="13">
        <v>0</v>
      </c>
      <c r="K500">
        <v>634.39</v>
      </c>
      <c r="L500">
        <v>428.64</v>
      </c>
      <c r="M500">
        <v>205.75</v>
      </c>
      <c r="N500" t="s">
        <v>72</v>
      </c>
    </row>
    <row r="501" spans="1:14" x14ac:dyDescent="0.3">
      <c r="A501" t="s">
        <v>555</v>
      </c>
      <c r="B501" s="1">
        <v>45996</v>
      </c>
      <c r="C501" t="s">
        <v>36</v>
      </c>
      <c r="D501" t="s">
        <v>41</v>
      </c>
      <c r="E501" t="s">
        <v>24</v>
      </c>
      <c r="F501" t="s">
        <v>18</v>
      </c>
      <c r="G501" t="s">
        <v>25</v>
      </c>
      <c r="H501">
        <v>4</v>
      </c>
      <c r="I501">
        <v>137.08000000000001</v>
      </c>
      <c r="J501" s="13">
        <v>0</v>
      </c>
      <c r="K501">
        <v>548.30999999999995</v>
      </c>
      <c r="L501">
        <v>366.47</v>
      </c>
      <c r="M501">
        <v>181.84</v>
      </c>
      <c r="N501" t="s">
        <v>70</v>
      </c>
    </row>
    <row r="502" spans="1:14" x14ac:dyDescent="0.3">
      <c r="A502" t="s">
        <v>556</v>
      </c>
      <c r="B502" s="1">
        <v>45779</v>
      </c>
      <c r="C502" t="s">
        <v>15</v>
      </c>
      <c r="D502" t="s">
        <v>23</v>
      </c>
      <c r="E502" t="s">
        <v>17</v>
      </c>
      <c r="F502" t="s">
        <v>18</v>
      </c>
      <c r="G502" t="s">
        <v>79</v>
      </c>
      <c r="H502">
        <v>7</v>
      </c>
      <c r="I502">
        <v>80.319999999999993</v>
      </c>
      <c r="J502" s="13">
        <v>0.1</v>
      </c>
      <c r="K502">
        <v>506.03</v>
      </c>
      <c r="L502">
        <v>356.54</v>
      </c>
      <c r="M502">
        <v>149.49</v>
      </c>
      <c r="N502" t="s">
        <v>72</v>
      </c>
    </row>
    <row r="503" spans="1:14" x14ac:dyDescent="0.3">
      <c r="A503" t="s">
        <v>557</v>
      </c>
      <c r="B503" s="1">
        <v>45990</v>
      </c>
      <c r="C503" t="s">
        <v>28</v>
      </c>
      <c r="D503" t="s">
        <v>31</v>
      </c>
      <c r="E503" t="s">
        <v>24</v>
      </c>
      <c r="F503" t="s">
        <v>18</v>
      </c>
      <c r="G503" t="s">
        <v>25</v>
      </c>
      <c r="H503">
        <v>3</v>
      </c>
      <c r="I503">
        <v>964.03</v>
      </c>
      <c r="J503" s="13">
        <v>0.1</v>
      </c>
      <c r="K503">
        <v>2602.89</v>
      </c>
      <c r="L503">
        <v>2000.11</v>
      </c>
      <c r="M503">
        <v>602.78</v>
      </c>
      <c r="N503" t="s">
        <v>60</v>
      </c>
    </row>
    <row r="504" spans="1:14" x14ac:dyDescent="0.3">
      <c r="A504" t="s">
        <v>558</v>
      </c>
      <c r="B504" s="1">
        <v>45865</v>
      </c>
      <c r="C504" t="s">
        <v>67</v>
      </c>
      <c r="D504" t="s">
        <v>41</v>
      </c>
      <c r="E504" t="s">
        <v>17</v>
      </c>
      <c r="F504" t="s">
        <v>18</v>
      </c>
      <c r="G504" t="s">
        <v>37</v>
      </c>
      <c r="H504">
        <v>3</v>
      </c>
      <c r="I504">
        <v>205.31</v>
      </c>
      <c r="J504" s="13">
        <v>0.05</v>
      </c>
      <c r="K504">
        <v>585.12</v>
      </c>
      <c r="L504">
        <v>397.93</v>
      </c>
      <c r="M504">
        <v>187.19</v>
      </c>
      <c r="N504" t="s">
        <v>26</v>
      </c>
    </row>
    <row r="505" spans="1:14" x14ac:dyDescent="0.3">
      <c r="A505" t="s">
        <v>559</v>
      </c>
      <c r="B505" s="1">
        <v>45936</v>
      </c>
      <c r="C505" t="s">
        <v>69</v>
      </c>
      <c r="D505" t="s">
        <v>16</v>
      </c>
      <c r="E505" t="s">
        <v>17</v>
      </c>
      <c r="F505" t="s">
        <v>45</v>
      </c>
      <c r="G505" t="s">
        <v>50</v>
      </c>
      <c r="H505">
        <v>1</v>
      </c>
      <c r="I505">
        <v>259.11</v>
      </c>
      <c r="J505" s="13">
        <v>0.05</v>
      </c>
      <c r="K505">
        <v>246.15</v>
      </c>
      <c r="L505">
        <v>163.02000000000001</v>
      </c>
      <c r="M505">
        <v>83.13</v>
      </c>
      <c r="N505" t="s">
        <v>51</v>
      </c>
    </row>
    <row r="506" spans="1:14" x14ac:dyDescent="0.3">
      <c r="A506" t="s">
        <v>560</v>
      </c>
      <c r="B506" s="1">
        <v>45749</v>
      </c>
      <c r="C506" t="s">
        <v>69</v>
      </c>
      <c r="D506" t="s">
        <v>16</v>
      </c>
      <c r="E506" t="s">
        <v>24</v>
      </c>
      <c r="F506" t="s">
        <v>45</v>
      </c>
      <c r="G506" t="s">
        <v>50</v>
      </c>
      <c r="H506">
        <v>3</v>
      </c>
      <c r="I506">
        <v>273.39999999999998</v>
      </c>
      <c r="J506" s="13">
        <v>0</v>
      </c>
      <c r="K506">
        <v>820.2</v>
      </c>
      <c r="L506">
        <v>476.4</v>
      </c>
      <c r="M506">
        <v>343.8</v>
      </c>
      <c r="N506" t="s">
        <v>63</v>
      </c>
    </row>
    <row r="507" spans="1:14" x14ac:dyDescent="0.3">
      <c r="A507" t="s">
        <v>561</v>
      </c>
      <c r="B507" s="1">
        <v>45980</v>
      </c>
      <c r="C507" t="s">
        <v>15</v>
      </c>
      <c r="D507" t="s">
        <v>41</v>
      </c>
      <c r="E507" t="s">
        <v>17</v>
      </c>
      <c r="F507" t="s">
        <v>45</v>
      </c>
      <c r="G507" t="s">
        <v>19</v>
      </c>
      <c r="H507">
        <v>2</v>
      </c>
      <c r="I507">
        <v>67.86</v>
      </c>
      <c r="J507" s="13">
        <v>0</v>
      </c>
      <c r="K507">
        <v>135.72</v>
      </c>
      <c r="L507">
        <v>81.39</v>
      </c>
      <c r="M507">
        <v>54.33</v>
      </c>
      <c r="N507" t="s">
        <v>60</v>
      </c>
    </row>
    <row r="508" spans="1:14" x14ac:dyDescent="0.3">
      <c r="A508" t="s">
        <v>562</v>
      </c>
      <c r="B508" s="1">
        <v>45995</v>
      </c>
      <c r="C508" t="s">
        <v>69</v>
      </c>
      <c r="D508" t="s">
        <v>41</v>
      </c>
      <c r="E508" t="s">
        <v>17</v>
      </c>
      <c r="F508" t="s">
        <v>18</v>
      </c>
      <c r="G508" t="s">
        <v>46</v>
      </c>
      <c r="H508">
        <v>1</v>
      </c>
      <c r="I508">
        <v>279.45999999999998</v>
      </c>
      <c r="J508" s="13">
        <v>0</v>
      </c>
      <c r="K508">
        <v>279.45999999999998</v>
      </c>
      <c r="L508">
        <v>196.6</v>
      </c>
      <c r="M508">
        <v>82.86</v>
      </c>
      <c r="N508" t="s">
        <v>70</v>
      </c>
    </row>
    <row r="509" spans="1:14" x14ac:dyDescent="0.3">
      <c r="A509" t="s">
        <v>563</v>
      </c>
      <c r="B509" s="1">
        <v>45692</v>
      </c>
      <c r="C509" t="s">
        <v>43</v>
      </c>
      <c r="D509" t="s">
        <v>16</v>
      </c>
      <c r="E509" t="s">
        <v>24</v>
      </c>
      <c r="F509" t="s">
        <v>32</v>
      </c>
      <c r="G509" t="s">
        <v>25</v>
      </c>
      <c r="H509">
        <v>2</v>
      </c>
      <c r="I509">
        <v>567.02</v>
      </c>
      <c r="J509" s="13">
        <v>0.03</v>
      </c>
      <c r="K509">
        <v>1100.02</v>
      </c>
      <c r="L509">
        <v>835.2</v>
      </c>
      <c r="M509">
        <v>264.82</v>
      </c>
      <c r="N509" t="s">
        <v>102</v>
      </c>
    </row>
    <row r="510" spans="1:14" x14ac:dyDescent="0.3">
      <c r="A510" t="s">
        <v>564</v>
      </c>
      <c r="B510" s="1">
        <v>45932</v>
      </c>
      <c r="C510" t="s">
        <v>22</v>
      </c>
      <c r="D510" t="s">
        <v>41</v>
      </c>
      <c r="E510" t="s">
        <v>44</v>
      </c>
      <c r="F510" t="s">
        <v>18</v>
      </c>
      <c r="G510" t="s">
        <v>33</v>
      </c>
      <c r="H510">
        <v>3</v>
      </c>
      <c r="I510">
        <v>84.83</v>
      </c>
      <c r="J510" s="13">
        <v>0.05</v>
      </c>
      <c r="K510">
        <v>241.76</v>
      </c>
      <c r="L510">
        <v>178.76</v>
      </c>
      <c r="M510">
        <v>63</v>
      </c>
      <c r="N510" t="s">
        <v>51</v>
      </c>
    </row>
    <row r="511" spans="1:14" x14ac:dyDescent="0.3">
      <c r="A511" t="s">
        <v>565</v>
      </c>
      <c r="B511" s="1">
        <v>45756</v>
      </c>
      <c r="C511" t="s">
        <v>36</v>
      </c>
      <c r="D511" t="s">
        <v>41</v>
      </c>
      <c r="E511" t="s">
        <v>17</v>
      </c>
      <c r="F511" t="s">
        <v>18</v>
      </c>
      <c r="G511" t="s">
        <v>25</v>
      </c>
      <c r="H511">
        <v>5</v>
      </c>
      <c r="I511">
        <v>154.65</v>
      </c>
      <c r="J511" s="13">
        <v>0.1</v>
      </c>
      <c r="K511">
        <v>695.91</v>
      </c>
      <c r="L511">
        <v>457.69</v>
      </c>
      <c r="M511">
        <v>238.22</v>
      </c>
      <c r="N511" t="s">
        <v>63</v>
      </c>
    </row>
    <row r="512" spans="1:14" x14ac:dyDescent="0.3">
      <c r="A512" t="s">
        <v>566</v>
      </c>
      <c r="B512" s="1">
        <v>45830</v>
      </c>
      <c r="C512" t="s">
        <v>15</v>
      </c>
      <c r="D512" t="s">
        <v>41</v>
      </c>
      <c r="E512" t="s">
        <v>24</v>
      </c>
      <c r="F512" t="s">
        <v>45</v>
      </c>
      <c r="G512" t="s">
        <v>25</v>
      </c>
      <c r="H512">
        <v>8</v>
      </c>
      <c r="I512">
        <v>75.290000000000006</v>
      </c>
      <c r="J512" s="13">
        <v>0</v>
      </c>
      <c r="K512">
        <v>602.35</v>
      </c>
      <c r="L512">
        <v>430.74</v>
      </c>
      <c r="M512">
        <v>171.61</v>
      </c>
      <c r="N512" t="s">
        <v>76</v>
      </c>
    </row>
    <row r="513" spans="1:14" x14ac:dyDescent="0.3">
      <c r="A513" t="s">
        <v>567</v>
      </c>
      <c r="B513" s="1">
        <v>45721</v>
      </c>
      <c r="C513" t="s">
        <v>48</v>
      </c>
      <c r="D513" t="s">
        <v>16</v>
      </c>
      <c r="E513" t="s">
        <v>17</v>
      </c>
      <c r="F513" t="s">
        <v>18</v>
      </c>
      <c r="G513" t="s">
        <v>25</v>
      </c>
      <c r="H513">
        <v>8</v>
      </c>
      <c r="I513">
        <v>367.68</v>
      </c>
      <c r="J513" s="13">
        <v>0</v>
      </c>
      <c r="K513">
        <v>2941.43</v>
      </c>
      <c r="L513">
        <v>1915.13</v>
      </c>
      <c r="M513">
        <v>1026.3</v>
      </c>
      <c r="N513" t="s">
        <v>53</v>
      </c>
    </row>
    <row r="514" spans="1:14" x14ac:dyDescent="0.3">
      <c r="A514" t="s">
        <v>568</v>
      </c>
      <c r="B514" s="1">
        <v>46004</v>
      </c>
      <c r="C514" t="s">
        <v>43</v>
      </c>
      <c r="D514" t="s">
        <v>31</v>
      </c>
      <c r="E514" t="s">
        <v>24</v>
      </c>
      <c r="F514" t="s">
        <v>18</v>
      </c>
      <c r="G514" t="s">
        <v>46</v>
      </c>
      <c r="H514">
        <v>1</v>
      </c>
      <c r="I514">
        <v>601.38</v>
      </c>
      <c r="J514" s="13">
        <v>0.05</v>
      </c>
      <c r="K514">
        <v>571.30999999999995</v>
      </c>
      <c r="L514">
        <v>372.71</v>
      </c>
      <c r="M514">
        <v>198.6</v>
      </c>
      <c r="N514" t="s">
        <v>70</v>
      </c>
    </row>
    <row r="515" spans="1:14" x14ac:dyDescent="0.3">
      <c r="A515" t="s">
        <v>569</v>
      </c>
      <c r="B515" s="1">
        <v>45794</v>
      </c>
      <c r="C515" t="s">
        <v>28</v>
      </c>
      <c r="D515" t="s">
        <v>31</v>
      </c>
      <c r="E515" t="s">
        <v>17</v>
      </c>
      <c r="F515" t="s">
        <v>45</v>
      </c>
      <c r="G515" t="s">
        <v>37</v>
      </c>
      <c r="H515">
        <v>4</v>
      </c>
      <c r="I515">
        <v>922.42</v>
      </c>
      <c r="J515" s="13">
        <v>0.05</v>
      </c>
      <c r="K515">
        <v>3505.19</v>
      </c>
      <c r="L515">
        <v>2332.73</v>
      </c>
      <c r="M515">
        <v>1172.46</v>
      </c>
      <c r="N515" t="s">
        <v>72</v>
      </c>
    </row>
    <row r="516" spans="1:14" x14ac:dyDescent="0.3">
      <c r="A516" t="s">
        <v>570</v>
      </c>
      <c r="B516" s="1">
        <v>45749</v>
      </c>
      <c r="C516" t="s">
        <v>104</v>
      </c>
      <c r="D516" t="s">
        <v>31</v>
      </c>
      <c r="E516" t="s">
        <v>17</v>
      </c>
      <c r="F516" t="s">
        <v>18</v>
      </c>
      <c r="G516" t="s">
        <v>37</v>
      </c>
      <c r="H516">
        <v>2</v>
      </c>
      <c r="I516">
        <v>87.98</v>
      </c>
      <c r="J516" s="13">
        <v>0.03</v>
      </c>
      <c r="K516">
        <v>170.68</v>
      </c>
      <c r="L516">
        <v>134.15</v>
      </c>
      <c r="M516">
        <v>36.53</v>
      </c>
      <c r="N516" t="s">
        <v>63</v>
      </c>
    </row>
    <row r="517" spans="1:14" x14ac:dyDescent="0.3">
      <c r="A517" t="s">
        <v>571</v>
      </c>
      <c r="B517" s="1">
        <v>45799</v>
      </c>
      <c r="C517" t="s">
        <v>28</v>
      </c>
      <c r="D517" t="s">
        <v>41</v>
      </c>
      <c r="E517" t="s">
        <v>44</v>
      </c>
      <c r="F517" t="s">
        <v>18</v>
      </c>
      <c r="G517" t="s">
        <v>79</v>
      </c>
      <c r="H517">
        <v>2</v>
      </c>
      <c r="I517">
        <v>949.29</v>
      </c>
      <c r="J517" s="13">
        <v>0.05</v>
      </c>
      <c r="K517">
        <v>1803.64</v>
      </c>
      <c r="L517">
        <v>1110.26</v>
      </c>
      <c r="M517">
        <v>693.38</v>
      </c>
      <c r="N517" t="s">
        <v>72</v>
      </c>
    </row>
    <row r="518" spans="1:14" x14ac:dyDescent="0.3">
      <c r="A518" t="s">
        <v>572</v>
      </c>
      <c r="B518" s="1">
        <v>45692</v>
      </c>
      <c r="C518" t="s">
        <v>28</v>
      </c>
      <c r="D518" t="s">
        <v>41</v>
      </c>
      <c r="E518" t="s">
        <v>17</v>
      </c>
      <c r="F518" t="s">
        <v>18</v>
      </c>
      <c r="G518" t="s">
        <v>50</v>
      </c>
      <c r="H518">
        <v>4</v>
      </c>
      <c r="I518">
        <v>860.88</v>
      </c>
      <c r="J518" s="13">
        <v>0.03</v>
      </c>
      <c r="K518">
        <v>3340.2</v>
      </c>
      <c r="L518">
        <v>2083.58</v>
      </c>
      <c r="M518">
        <v>1256.6199999999999</v>
      </c>
      <c r="N518" t="s">
        <v>102</v>
      </c>
    </row>
    <row r="519" spans="1:14" x14ac:dyDescent="0.3">
      <c r="A519" t="s">
        <v>573</v>
      </c>
      <c r="B519" s="1">
        <v>45868</v>
      </c>
      <c r="C519" t="s">
        <v>48</v>
      </c>
      <c r="D519" t="s">
        <v>31</v>
      </c>
      <c r="E519" t="s">
        <v>17</v>
      </c>
      <c r="F519" t="s">
        <v>32</v>
      </c>
      <c r="G519" t="s">
        <v>50</v>
      </c>
      <c r="H519">
        <v>6</v>
      </c>
      <c r="I519">
        <v>345.24</v>
      </c>
      <c r="J519" s="13">
        <v>0.05</v>
      </c>
      <c r="K519">
        <v>1967.89</v>
      </c>
      <c r="L519">
        <v>1537.09</v>
      </c>
      <c r="M519">
        <v>430.8</v>
      </c>
      <c r="N519" t="s">
        <v>26</v>
      </c>
    </row>
    <row r="520" spans="1:14" x14ac:dyDescent="0.3">
      <c r="A520" t="s">
        <v>574</v>
      </c>
      <c r="B520" s="1">
        <v>46002</v>
      </c>
      <c r="C520" t="s">
        <v>59</v>
      </c>
      <c r="D520" t="s">
        <v>31</v>
      </c>
      <c r="E520" t="s">
        <v>17</v>
      </c>
      <c r="F520" t="s">
        <v>45</v>
      </c>
      <c r="G520" t="s">
        <v>25</v>
      </c>
      <c r="H520">
        <v>1</v>
      </c>
      <c r="I520">
        <v>29.85</v>
      </c>
      <c r="J520" s="13">
        <v>0.1</v>
      </c>
      <c r="K520">
        <v>26.87</v>
      </c>
      <c r="L520">
        <v>19.61</v>
      </c>
      <c r="M520">
        <v>7.26</v>
      </c>
      <c r="N520" t="s">
        <v>70</v>
      </c>
    </row>
    <row r="521" spans="1:14" x14ac:dyDescent="0.3">
      <c r="A521" t="s">
        <v>575</v>
      </c>
      <c r="B521" s="1">
        <v>45901</v>
      </c>
      <c r="C521" t="s">
        <v>40</v>
      </c>
      <c r="D521" t="s">
        <v>41</v>
      </c>
      <c r="E521" t="s">
        <v>24</v>
      </c>
      <c r="F521" t="s">
        <v>18</v>
      </c>
      <c r="G521" t="s">
        <v>50</v>
      </c>
      <c r="H521">
        <v>1</v>
      </c>
      <c r="I521">
        <v>100.79</v>
      </c>
      <c r="J521" s="13">
        <v>0</v>
      </c>
      <c r="K521">
        <v>100.79</v>
      </c>
      <c r="L521">
        <v>68.900000000000006</v>
      </c>
      <c r="M521">
        <v>31.89</v>
      </c>
      <c r="N521" t="s">
        <v>38</v>
      </c>
    </row>
    <row r="522" spans="1:14" x14ac:dyDescent="0.3">
      <c r="A522" t="s">
        <v>576</v>
      </c>
      <c r="B522" s="1">
        <v>45866</v>
      </c>
      <c r="C522" t="s">
        <v>40</v>
      </c>
      <c r="D522" t="s">
        <v>23</v>
      </c>
      <c r="E522" t="s">
        <v>24</v>
      </c>
      <c r="F522" t="s">
        <v>45</v>
      </c>
      <c r="G522" t="s">
        <v>56</v>
      </c>
      <c r="H522">
        <v>5</v>
      </c>
      <c r="I522">
        <v>107.52</v>
      </c>
      <c r="J522" s="13">
        <v>0.03</v>
      </c>
      <c r="K522">
        <v>521.49</v>
      </c>
      <c r="L522">
        <v>343.38</v>
      </c>
      <c r="M522">
        <v>178.11</v>
      </c>
      <c r="N522" t="s">
        <v>26</v>
      </c>
    </row>
    <row r="523" spans="1:14" x14ac:dyDescent="0.3">
      <c r="A523" t="s">
        <v>577</v>
      </c>
      <c r="B523" s="1">
        <v>45766</v>
      </c>
      <c r="C523" t="s">
        <v>104</v>
      </c>
      <c r="D523" t="s">
        <v>41</v>
      </c>
      <c r="E523" t="s">
        <v>24</v>
      </c>
      <c r="F523" t="s">
        <v>18</v>
      </c>
      <c r="G523" t="s">
        <v>79</v>
      </c>
      <c r="H523">
        <v>4</v>
      </c>
      <c r="I523">
        <v>96.23</v>
      </c>
      <c r="J523" s="13">
        <v>0.05</v>
      </c>
      <c r="K523">
        <v>365.66</v>
      </c>
      <c r="L523">
        <v>294.97000000000003</v>
      </c>
      <c r="M523">
        <v>70.69</v>
      </c>
      <c r="N523" t="s">
        <v>63</v>
      </c>
    </row>
    <row r="524" spans="1:14" x14ac:dyDescent="0.3">
      <c r="A524" t="s">
        <v>578</v>
      </c>
      <c r="B524" s="1">
        <v>45955</v>
      </c>
      <c r="C524" t="s">
        <v>28</v>
      </c>
      <c r="D524" t="s">
        <v>31</v>
      </c>
      <c r="E524" t="s">
        <v>24</v>
      </c>
      <c r="F524" t="s">
        <v>18</v>
      </c>
      <c r="G524" t="s">
        <v>56</v>
      </c>
      <c r="H524">
        <v>6</v>
      </c>
      <c r="I524">
        <v>898.91</v>
      </c>
      <c r="J524" s="13">
        <v>0.03</v>
      </c>
      <c r="K524">
        <v>5231.63</v>
      </c>
      <c r="L524">
        <v>3366.2</v>
      </c>
      <c r="M524">
        <v>1865.43</v>
      </c>
      <c r="N524" t="s">
        <v>51</v>
      </c>
    </row>
    <row r="525" spans="1:14" x14ac:dyDescent="0.3">
      <c r="A525" t="s">
        <v>579</v>
      </c>
      <c r="B525" s="1">
        <v>45936</v>
      </c>
      <c r="C525" t="s">
        <v>30</v>
      </c>
      <c r="D525" t="s">
        <v>16</v>
      </c>
      <c r="E525" t="s">
        <v>44</v>
      </c>
      <c r="F525" t="s">
        <v>45</v>
      </c>
      <c r="G525" t="s">
        <v>46</v>
      </c>
      <c r="H525">
        <v>4</v>
      </c>
      <c r="I525">
        <v>57.84</v>
      </c>
      <c r="J525" s="13">
        <v>0.03</v>
      </c>
      <c r="K525">
        <v>224.41</v>
      </c>
      <c r="L525">
        <v>153.19</v>
      </c>
      <c r="M525">
        <v>71.22</v>
      </c>
      <c r="N525" t="s">
        <v>51</v>
      </c>
    </row>
    <row r="526" spans="1:14" x14ac:dyDescent="0.3">
      <c r="A526" t="s">
        <v>580</v>
      </c>
      <c r="B526" s="1">
        <v>45933</v>
      </c>
      <c r="C526" t="s">
        <v>15</v>
      </c>
      <c r="D526" t="s">
        <v>23</v>
      </c>
      <c r="E526" t="s">
        <v>24</v>
      </c>
      <c r="F526" t="s">
        <v>18</v>
      </c>
      <c r="G526" t="s">
        <v>50</v>
      </c>
      <c r="H526">
        <v>6</v>
      </c>
      <c r="I526">
        <v>73.11</v>
      </c>
      <c r="J526" s="13">
        <v>0</v>
      </c>
      <c r="K526">
        <v>438.66</v>
      </c>
      <c r="L526">
        <v>267.75</v>
      </c>
      <c r="M526">
        <v>170.91</v>
      </c>
      <c r="N526" t="s">
        <v>51</v>
      </c>
    </row>
    <row r="527" spans="1:14" x14ac:dyDescent="0.3">
      <c r="A527" t="s">
        <v>581</v>
      </c>
      <c r="B527" s="1">
        <v>45739</v>
      </c>
      <c r="C527" t="s">
        <v>22</v>
      </c>
      <c r="D527" t="s">
        <v>16</v>
      </c>
      <c r="E527" t="s">
        <v>17</v>
      </c>
      <c r="F527" t="s">
        <v>45</v>
      </c>
      <c r="G527" t="s">
        <v>79</v>
      </c>
      <c r="H527">
        <v>1</v>
      </c>
      <c r="I527">
        <v>86.28</v>
      </c>
      <c r="J527" s="13">
        <v>0.05</v>
      </c>
      <c r="K527">
        <v>81.96</v>
      </c>
      <c r="L527">
        <v>55.43</v>
      </c>
      <c r="M527">
        <v>26.53</v>
      </c>
      <c r="N527" t="s">
        <v>53</v>
      </c>
    </row>
    <row r="528" spans="1:14" x14ac:dyDescent="0.3">
      <c r="A528" t="s">
        <v>582</v>
      </c>
      <c r="B528" s="1">
        <v>46018</v>
      </c>
      <c r="C528" t="s">
        <v>15</v>
      </c>
      <c r="D528" t="s">
        <v>23</v>
      </c>
      <c r="E528" t="s">
        <v>17</v>
      </c>
      <c r="F528" t="s">
        <v>18</v>
      </c>
      <c r="G528" t="s">
        <v>79</v>
      </c>
      <c r="H528">
        <v>3</v>
      </c>
      <c r="I528">
        <v>67.599999999999994</v>
      </c>
      <c r="J528" s="13">
        <v>0.1</v>
      </c>
      <c r="K528">
        <v>182.53</v>
      </c>
      <c r="L528">
        <v>150.57</v>
      </c>
      <c r="M528">
        <v>31.96</v>
      </c>
      <c r="N528" t="s">
        <v>70</v>
      </c>
    </row>
    <row r="529" spans="1:14" x14ac:dyDescent="0.3">
      <c r="A529" t="s">
        <v>583</v>
      </c>
      <c r="B529" s="1">
        <v>45801</v>
      </c>
      <c r="C529" t="s">
        <v>48</v>
      </c>
      <c r="D529" t="s">
        <v>16</v>
      </c>
      <c r="E529" t="s">
        <v>24</v>
      </c>
      <c r="F529" t="s">
        <v>45</v>
      </c>
      <c r="G529" t="s">
        <v>37</v>
      </c>
      <c r="H529">
        <v>7</v>
      </c>
      <c r="I529">
        <v>318.43</v>
      </c>
      <c r="J529" s="13">
        <v>0.03</v>
      </c>
      <c r="K529">
        <v>2162.15</v>
      </c>
      <c r="L529">
        <v>1444.07</v>
      </c>
      <c r="M529">
        <v>718.08</v>
      </c>
      <c r="N529" t="s">
        <v>72</v>
      </c>
    </row>
    <row r="530" spans="1:14" x14ac:dyDescent="0.3">
      <c r="A530" t="s">
        <v>584</v>
      </c>
      <c r="B530" s="1">
        <v>45812</v>
      </c>
      <c r="C530" t="s">
        <v>59</v>
      </c>
      <c r="D530" t="s">
        <v>41</v>
      </c>
      <c r="E530" t="s">
        <v>17</v>
      </c>
      <c r="F530" t="s">
        <v>18</v>
      </c>
      <c r="G530" t="s">
        <v>19</v>
      </c>
      <c r="H530">
        <v>5</v>
      </c>
      <c r="I530">
        <v>33.979999999999997</v>
      </c>
      <c r="J530" s="13">
        <v>0.03</v>
      </c>
      <c r="K530">
        <v>164.79</v>
      </c>
      <c r="L530">
        <v>127.71</v>
      </c>
      <c r="M530">
        <v>37.08</v>
      </c>
      <c r="N530" t="s">
        <v>76</v>
      </c>
    </row>
    <row r="531" spans="1:14" x14ac:dyDescent="0.3">
      <c r="A531" t="s">
        <v>585</v>
      </c>
      <c r="B531" s="1">
        <v>45988</v>
      </c>
      <c r="C531" t="s">
        <v>28</v>
      </c>
      <c r="D531" t="s">
        <v>41</v>
      </c>
      <c r="E531" t="s">
        <v>24</v>
      </c>
      <c r="F531" t="s">
        <v>18</v>
      </c>
      <c r="G531" t="s">
        <v>33</v>
      </c>
      <c r="H531">
        <v>2</v>
      </c>
      <c r="I531">
        <v>1017.13</v>
      </c>
      <c r="J531" s="13">
        <v>0</v>
      </c>
      <c r="K531">
        <v>2034.27</v>
      </c>
      <c r="L531">
        <v>1452.2</v>
      </c>
      <c r="M531">
        <v>582.07000000000005</v>
      </c>
      <c r="N531" t="s">
        <v>60</v>
      </c>
    </row>
    <row r="532" spans="1:14" x14ac:dyDescent="0.3">
      <c r="A532" t="s">
        <v>586</v>
      </c>
      <c r="B532" s="1">
        <v>45841</v>
      </c>
      <c r="C532" t="s">
        <v>67</v>
      </c>
      <c r="D532" t="s">
        <v>16</v>
      </c>
      <c r="E532" t="s">
        <v>17</v>
      </c>
      <c r="F532" t="s">
        <v>45</v>
      </c>
      <c r="G532" t="s">
        <v>33</v>
      </c>
      <c r="H532">
        <v>1</v>
      </c>
      <c r="I532">
        <v>203.73</v>
      </c>
      <c r="J532" s="13">
        <v>0.15</v>
      </c>
      <c r="K532">
        <v>173.17</v>
      </c>
      <c r="L532">
        <v>131.56</v>
      </c>
      <c r="M532">
        <v>41.61</v>
      </c>
      <c r="N532" t="s">
        <v>26</v>
      </c>
    </row>
    <row r="533" spans="1:14" x14ac:dyDescent="0.3">
      <c r="A533" t="s">
        <v>587</v>
      </c>
      <c r="B533" s="1">
        <v>45857</v>
      </c>
      <c r="C533" t="s">
        <v>59</v>
      </c>
      <c r="D533" t="s">
        <v>23</v>
      </c>
      <c r="E533" t="s">
        <v>17</v>
      </c>
      <c r="F533" t="s">
        <v>45</v>
      </c>
      <c r="G533" t="s">
        <v>79</v>
      </c>
      <c r="H533">
        <v>5</v>
      </c>
      <c r="I533">
        <v>33.81</v>
      </c>
      <c r="J533" s="13">
        <v>0.15</v>
      </c>
      <c r="K533">
        <v>143.69999999999999</v>
      </c>
      <c r="L533">
        <v>118.27</v>
      </c>
      <c r="M533">
        <v>25.43</v>
      </c>
      <c r="N533" t="s">
        <v>26</v>
      </c>
    </row>
    <row r="534" spans="1:14" x14ac:dyDescent="0.3">
      <c r="A534" t="s">
        <v>588</v>
      </c>
      <c r="B534" s="1">
        <v>45829</v>
      </c>
      <c r="C534" t="s">
        <v>69</v>
      </c>
      <c r="D534" t="s">
        <v>16</v>
      </c>
      <c r="E534" t="s">
        <v>24</v>
      </c>
      <c r="F534" t="s">
        <v>45</v>
      </c>
      <c r="G534" t="s">
        <v>56</v>
      </c>
      <c r="H534">
        <v>4</v>
      </c>
      <c r="I534">
        <v>255</v>
      </c>
      <c r="J534" s="13">
        <v>0.05</v>
      </c>
      <c r="K534">
        <v>969.01</v>
      </c>
      <c r="L534">
        <v>764.83</v>
      </c>
      <c r="M534">
        <v>204.18</v>
      </c>
      <c r="N534" t="s">
        <v>76</v>
      </c>
    </row>
    <row r="535" spans="1:14" x14ac:dyDescent="0.3">
      <c r="A535" t="s">
        <v>589</v>
      </c>
      <c r="B535" s="1">
        <v>45705</v>
      </c>
      <c r="C535" t="s">
        <v>40</v>
      </c>
      <c r="D535" t="s">
        <v>23</v>
      </c>
      <c r="E535" t="s">
        <v>44</v>
      </c>
      <c r="F535" t="s">
        <v>32</v>
      </c>
      <c r="G535" t="s">
        <v>79</v>
      </c>
      <c r="H535">
        <v>3</v>
      </c>
      <c r="I535">
        <v>107.84</v>
      </c>
      <c r="J535" s="13">
        <v>0.03</v>
      </c>
      <c r="K535">
        <v>313.81</v>
      </c>
      <c r="L535">
        <v>218.52</v>
      </c>
      <c r="M535">
        <v>95.29</v>
      </c>
      <c r="N535" t="s">
        <v>102</v>
      </c>
    </row>
    <row r="536" spans="1:14" x14ac:dyDescent="0.3">
      <c r="A536" t="s">
        <v>590</v>
      </c>
      <c r="B536" s="1">
        <v>45681</v>
      </c>
      <c r="C536" t="s">
        <v>48</v>
      </c>
      <c r="D536" t="s">
        <v>23</v>
      </c>
      <c r="E536" t="s">
        <v>24</v>
      </c>
      <c r="F536" t="s">
        <v>18</v>
      </c>
      <c r="G536" t="s">
        <v>25</v>
      </c>
      <c r="H536">
        <v>4</v>
      </c>
      <c r="I536">
        <v>351.63</v>
      </c>
      <c r="J536" s="13">
        <v>0.03</v>
      </c>
      <c r="K536">
        <v>1364.32</v>
      </c>
      <c r="L536">
        <v>1063.1199999999999</v>
      </c>
      <c r="M536">
        <v>301.2</v>
      </c>
      <c r="N536" t="s">
        <v>34</v>
      </c>
    </row>
    <row r="537" spans="1:14" x14ac:dyDescent="0.3">
      <c r="A537" t="s">
        <v>591</v>
      </c>
      <c r="B537" s="1">
        <v>45736</v>
      </c>
      <c r="C537" t="s">
        <v>59</v>
      </c>
      <c r="D537" t="s">
        <v>16</v>
      </c>
      <c r="E537" t="s">
        <v>17</v>
      </c>
      <c r="F537" t="s">
        <v>32</v>
      </c>
      <c r="G537" t="s">
        <v>37</v>
      </c>
      <c r="H537">
        <v>2</v>
      </c>
      <c r="I537">
        <v>29.25</v>
      </c>
      <c r="J537" s="13">
        <v>0.1</v>
      </c>
      <c r="K537">
        <v>52.66</v>
      </c>
      <c r="L537">
        <v>36.659999999999997</v>
      </c>
      <c r="M537">
        <v>16</v>
      </c>
      <c r="N537" t="s">
        <v>53</v>
      </c>
    </row>
    <row r="538" spans="1:14" x14ac:dyDescent="0.3">
      <c r="A538" t="s">
        <v>592</v>
      </c>
      <c r="B538" s="1">
        <v>45658</v>
      </c>
      <c r="C538" t="s">
        <v>67</v>
      </c>
      <c r="D538" t="s">
        <v>41</v>
      </c>
      <c r="E538" t="s">
        <v>24</v>
      </c>
      <c r="F538" t="s">
        <v>18</v>
      </c>
      <c r="G538" t="s">
        <v>50</v>
      </c>
      <c r="H538">
        <v>1</v>
      </c>
      <c r="I538">
        <v>185.94</v>
      </c>
      <c r="J538" s="13">
        <v>0</v>
      </c>
      <c r="K538">
        <v>185.94</v>
      </c>
      <c r="L538">
        <v>128.08000000000001</v>
      </c>
      <c r="M538">
        <v>57.86</v>
      </c>
      <c r="N538" t="s">
        <v>34</v>
      </c>
    </row>
    <row r="539" spans="1:14" x14ac:dyDescent="0.3">
      <c r="A539" t="s">
        <v>593</v>
      </c>
      <c r="B539" s="1">
        <v>45695</v>
      </c>
      <c r="C539" t="s">
        <v>69</v>
      </c>
      <c r="D539" t="s">
        <v>41</v>
      </c>
      <c r="E539" t="s">
        <v>44</v>
      </c>
      <c r="F539" t="s">
        <v>18</v>
      </c>
      <c r="G539" t="s">
        <v>50</v>
      </c>
      <c r="H539">
        <v>2</v>
      </c>
      <c r="I539">
        <v>261.38</v>
      </c>
      <c r="J539" s="13">
        <v>0</v>
      </c>
      <c r="K539">
        <v>522.76</v>
      </c>
      <c r="L539">
        <v>315.94</v>
      </c>
      <c r="M539">
        <v>206.82</v>
      </c>
      <c r="N539" t="s">
        <v>102</v>
      </c>
    </row>
    <row r="540" spans="1:14" x14ac:dyDescent="0.3">
      <c r="A540" t="s">
        <v>594</v>
      </c>
      <c r="B540" s="1">
        <v>45679</v>
      </c>
      <c r="C540" t="s">
        <v>104</v>
      </c>
      <c r="D540" t="s">
        <v>16</v>
      </c>
      <c r="E540" t="s">
        <v>44</v>
      </c>
      <c r="F540" t="s">
        <v>32</v>
      </c>
      <c r="G540" t="s">
        <v>19</v>
      </c>
      <c r="H540">
        <v>3</v>
      </c>
      <c r="I540">
        <v>102.01</v>
      </c>
      <c r="J540" s="13">
        <v>0.05</v>
      </c>
      <c r="K540">
        <v>290.74</v>
      </c>
      <c r="L540">
        <v>202.64</v>
      </c>
      <c r="M540">
        <v>88.1</v>
      </c>
      <c r="N540" t="s">
        <v>34</v>
      </c>
    </row>
    <row r="541" spans="1:14" x14ac:dyDescent="0.3">
      <c r="A541" t="s">
        <v>595</v>
      </c>
      <c r="B541" s="1">
        <v>46007</v>
      </c>
      <c r="C541" t="s">
        <v>15</v>
      </c>
      <c r="D541" t="s">
        <v>41</v>
      </c>
      <c r="E541" t="s">
        <v>24</v>
      </c>
      <c r="F541" t="s">
        <v>45</v>
      </c>
      <c r="G541" t="s">
        <v>56</v>
      </c>
      <c r="H541">
        <v>2</v>
      </c>
      <c r="I541">
        <v>74.37</v>
      </c>
      <c r="J541" s="13">
        <v>0.1</v>
      </c>
      <c r="K541">
        <v>133.87</v>
      </c>
      <c r="L541">
        <v>101.53</v>
      </c>
      <c r="M541">
        <v>32.340000000000003</v>
      </c>
      <c r="N541" t="s">
        <v>70</v>
      </c>
    </row>
    <row r="542" spans="1:14" x14ac:dyDescent="0.3">
      <c r="A542" t="s">
        <v>596</v>
      </c>
      <c r="B542" s="1">
        <v>45842</v>
      </c>
      <c r="C542" t="s">
        <v>43</v>
      </c>
      <c r="D542" t="s">
        <v>41</v>
      </c>
      <c r="E542" t="s">
        <v>24</v>
      </c>
      <c r="F542" t="s">
        <v>32</v>
      </c>
      <c r="G542" t="s">
        <v>19</v>
      </c>
      <c r="H542">
        <v>1</v>
      </c>
      <c r="I542">
        <v>600.78</v>
      </c>
      <c r="J542" s="13">
        <v>0</v>
      </c>
      <c r="K542">
        <v>600.78</v>
      </c>
      <c r="L542">
        <v>398.76</v>
      </c>
      <c r="M542">
        <v>202.02</v>
      </c>
      <c r="N542" t="s">
        <v>26</v>
      </c>
    </row>
    <row r="543" spans="1:14" x14ac:dyDescent="0.3">
      <c r="A543" t="s">
        <v>597</v>
      </c>
      <c r="B543" s="1">
        <v>45984</v>
      </c>
      <c r="C543" t="s">
        <v>59</v>
      </c>
      <c r="D543" t="s">
        <v>31</v>
      </c>
      <c r="E543" t="s">
        <v>24</v>
      </c>
      <c r="F543" t="s">
        <v>45</v>
      </c>
      <c r="G543" t="s">
        <v>33</v>
      </c>
      <c r="H543">
        <v>4</v>
      </c>
      <c r="I543">
        <v>34.06</v>
      </c>
      <c r="J543" s="13">
        <v>0.05</v>
      </c>
      <c r="K543">
        <v>129.44</v>
      </c>
      <c r="L543">
        <v>102.9</v>
      </c>
      <c r="M543">
        <v>26.54</v>
      </c>
      <c r="N543" t="s">
        <v>60</v>
      </c>
    </row>
    <row r="544" spans="1:14" x14ac:dyDescent="0.3">
      <c r="A544" t="s">
        <v>598</v>
      </c>
      <c r="B544" s="1">
        <v>45762</v>
      </c>
      <c r="C544" t="s">
        <v>104</v>
      </c>
      <c r="D544" t="s">
        <v>16</v>
      </c>
      <c r="E544" t="s">
        <v>24</v>
      </c>
      <c r="F544" t="s">
        <v>32</v>
      </c>
      <c r="G544" t="s">
        <v>19</v>
      </c>
      <c r="H544">
        <v>2</v>
      </c>
      <c r="I544">
        <v>92.13</v>
      </c>
      <c r="J544" s="13">
        <v>0.05</v>
      </c>
      <c r="K544">
        <v>175.04</v>
      </c>
      <c r="L544">
        <v>133.35</v>
      </c>
      <c r="M544">
        <v>41.69</v>
      </c>
      <c r="N544" t="s">
        <v>63</v>
      </c>
    </row>
    <row r="545" spans="1:14" x14ac:dyDescent="0.3">
      <c r="A545" t="s">
        <v>599</v>
      </c>
      <c r="B545" s="1">
        <v>45839</v>
      </c>
      <c r="C545" t="s">
        <v>30</v>
      </c>
      <c r="D545" t="s">
        <v>31</v>
      </c>
      <c r="E545" t="s">
        <v>17</v>
      </c>
      <c r="F545" t="s">
        <v>45</v>
      </c>
      <c r="G545" t="s">
        <v>56</v>
      </c>
      <c r="H545">
        <v>2</v>
      </c>
      <c r="I545">
        <v>57.75</v>
      </c>
      <c r="J545" s="13">
        <v>0.05</v>
      </c>
      <c r="K545">
        <v>109.73</v>
      </c>
      <c r="L545">
        <v>68.87</v>
      </c>
      <c r="M545">
        <v>40.86</v>
      </c>
      <c r="N545" t="s">
        <v>26</v>
      </c>
    </row>
    <row r="546" spans="1:14" x14ac:dyDescent="0.3">
      <c r="A546" t="s">
        <v>600</v>
      </c>
      <c r="B546" s="1">
        <v>45971</v>
      </c>
      <c r="C546" t="s">
        <v>104</v>
      </c>
      <c r="D546" t="s">
        <v>23</v>
      </c>
      <c r="E546" t="s">
        <v>44</v>
      </c>
      <c r="F546" t="s">
        <v>18</v>
      </c>
      <c r="G546" t="s">
        <v>37</v>
      </c>
      <c r="H546">
        <v>5</v>
      </c>
      <c r="I546">
        <v>101.87</v>
      </c>
      <c r="J546" s="13">
        <v>0</v>
      </c>
      <c r="K546">
        <v>509.34</v>
      </c>
      <c r="L546">
        <v>374.67</v>
      </c>
      <c r="M546">
        <v>134.66999999999999</v>
      </c>
      <c r="N546" t="s">
        <v>60</v>
      </c>
    </row>
    <row r="547" spans="1:14" x14ac:dyDescent="0.3">
      <c r="A547" t="s">
        <v>601</v>
      </c>
      <c r="B547" s="1">
        <v>46020</v>
      </c>
      <c r="C547" t="s">
        <v>36</v>
      </c>
      <c r="D547" t="s">
        <v>31</v>
      </c>
      <c r="E547" t="s">
        <v>17</v>
      </c>
      <c r="F547" t="s">
        <v>18</v>
      </c>
      <c r="G547" t="s">
        <v>79</v>
      </c>
      <c r="H547">
        <v>4</v>
      </c>
      <c r="I547">
        <v>138.6</v>
      </c>
      <c r="J547" s="13">
        <v>0.1</v>
      </c>
      <c r="K547">
        <v>498.97</v>
      </c>
      <c r="L547">
        <v>365.76</v>
      </c>
      <c r="M547">
        <v>133.21</v>
      </c>
      <c r="N547" t="s">
        <v>70</v>
      </c>
    </row>
    <row r="548" spans="1:14" x14ac:dyDescent="0.3">
      <c r="A548" t="s">
        <v>602</v>
      </c>
      <c r="B548" s="1">
        <v>45985</v>
      </c>
      <c r="C548" t="s">
        <v>59</v>
      </c>
      <c r="D548" t="s">
        <v>31</v>
      </c>
      <c r="E548" t="s">
        <v>44</v>
      </c>
      <c r="F548" t="s">
        <v>18</v>
      </c>
      <c r="G548" t="s">
        <v>19</v>
      </c>
      <c r="H548">
        <v>1</v>
      </c>
      <c r="I548">
        <v>34.909999999999997</v>
      </c>
      <c r="J548" s="13">
        <v>0</v>
      </c>
      <c r="K548">
        <v>34.909999999999997</v>
      </c>
      <c r="L548">
        <v>26.56</v>
      </c>
      <c r="M548">
        <v>8.35</v>
      </c>
      <c r="N548" t="s">
        <v>60</v>
      </c>
    </row>
    <row r="549" spans="1:14" x14ac:dyDescent="0.3">
      <c r="A549" t="s">
        <v>603</v>
      </c>
      <c r="B549" s="1">
        <v>45943</v>
      </c>
      <c r="C549" t="s">
        <v>28</v>
      </c>
      <c r="D549" t="s">
        <v>31</v>
      </c>
      <c r="E549" t="s">
        <v>44</v>
      </c>
      <c r="F549" t="s">
        <v>32</v>
      </c>
      <c r="G549" t="s">
        <v>56</v>
      </c>
      <c r="H549">
        <v>3</v>
      </c>
      <c r="I549">
        <v>890.55</v>
      </c>
      <c r="J549" s="13">
        <v>0.03</v>
      </c>
      <c r="K549">
        <v>2591.5100000000002</v>
      </c>
      <c r="L549">
        <v>1772.59</v>
      </c>
      <c r="M549">
        <v>818.92</v>
      </c>
      <c r="N549" t="s">
        <v>51</v>
      </c>
    </row>
    <row r="550" spans="1:14" x14ac:dyDescent="0.3">
      <c r="A550" t="s">
        <v>604</v>
      </c>
      <c r="B550" s="1">
        <v>45779</v>
      </c>
      <c r="C550" t="s">
        <v>22</v>
      </c>
      <c r="D550" t="s">
        <v>31</v>
      </c>
      <c r="E550" t="s">
        <v>24</v>
      </c>
      <c r="F550" t="s">
        <v>45</v>
      </c>
      <c r="G550" t="s">
        <v>46</v>
      </c>
      <c r="H550">
        <v>5</v>
      </c>
      <c r="I550">
        <v>85.63</v>
      </c>
      <c r="J550" s="13">
        <v>0.03</v>
      </c>
      <c r="K550">
        <v>415.3</v>
      </c>
      <c r="L550">
        <v>309.02999999999997</v>
      </c>
      <c r="M550">
        <v>106.27</v>
      </c>
      <c r="N550" t="s">
        <v>72</v>
      </c>
    </row>
    <row r="551" spans="1:14" x14ac:dyDescent="0.3">
      <c r="A551" t="s">
        <v>605</v>
      </c>
      <c r="B551" s="1">
        <v>45948</v>
      </c>
      <c r="C551" t="s">
        <v>67</v>
      </c>
      <c r="D551" t="s">
        <v>41</v>
      </c>
      <c r="E551" t="s">
        <v>24</v>
      </c>
      <c r="F551" t="s">
        <v>45</v>
      </c>
      <c r="G551" t="s">
        <v>56</v>
      </c>
      <c r="H551">
        <v>3</v>
      </c>
      <c r="I551">
        <v>175.65</v>
      </c>
      <c r="J551" s="13">
        <v>0</v>
      </c>
      <c r="K551">
        <v>526.96</v>
      </c>
      <c r="L551">
        <v>313.07</v>
      </c>
      <c r="M551">
        <v>213.89</v>
      </c>
      <c r="N551" t="s">
        <v>51</v>
      </c>
    </row>
    <row r="552" spans="1:14" x14ac:dyDescent="0.3">
      <c r="A552" t="s">
        <v>606</v>
      </c>
      <c r="B552" s="1">
        <v>45718</v>
      </c>
      <c r="C552" t="s">
        <v>69</v>
      </c>
      <c r="D552" t="s">
        <v>41</v>
      </c>
      <c r="E552" t="s">
        <v>24</v>
      </c>
      <c r="F552" t="s">
        <v>18</v>
      </c>
      <c r="G552" t="s">
        <v>50</v>
      </c>
      <c r="H552">
        <v>3</v>
      </c>
      <c r="I552">
        <v>261.63</v>
      </c>
      <c r="J552" s="13">
        <v>0.05</v>
      </c>
      <c r="K552">
        <v>745.63</v>
      </c>
      <c r="L552">
        <v>477.05</v>
      </c>
      <c r="M552">
        <v>268.58</v>
      </c>
      <c r="N552" t="s">
        <v>53</v>
      </c>
    </row>
    <row r="553" spans="1:14" x14ac:dyDescent="0.3">
      <c r="A553" t="s">
        <v>607</v>
      </c>
      <c r="B553" s="1">
        <v>45838</v>
      </c>
      <c r="C553" t="s">
        <v>48</v>
      </c>
      <c r="D553" t="s">
        <v>16</v>
      </c>
      <c r="E553" t="s">
        <v>17</v>
      </c>
      <c r="F553" t="s">
        <v>32</v>
      </c>
      <c r="G553" t="s">
        <v>56</v>
      </c>
      <c r="H553">
        <v>1</v>
      </c>
      <c r="I553">
        <v>340.17</v>
      </c>
      <c r="J553" s="13">
        <v>0.1</v>
      </c>
      <c r="K553">
        <v>306.14999999999998</v>
      </c>
      <c r="L553">
        <v>264.02</v>
      </c>
      <c r="M553">
        <v>42.13</v>
      </c>
      <c r="N553" t="s">
        <v>76</v>
      </c>
    </row>
    <row r="554" spans="1:14" x14ac:dyDescent="0.3">
      <c r="A554" t="s">
        <v>608</v>
      </c>
      <c r="B554" s="1">
        <v>45782</v>
      </c>
      <c r="C554" t="s">
        <v>15</v>
      </c>
      <c r="D554" t="s">
        <v>31</v>
      </c>
      <c r="E554" t="s">
        <v>17</v>
      </c>
      <c r="F554" t="s">
        <v>45</v>
      </c>
      <c r="G554" t="s">
        <v>19</v>
      </c>
      <c r="H554">
        <v>1</v>
      </c>
      <c r="I554">
        <v>75.67</v>
      </c>
      <c r="J554" s="13">
        <v>0.05</v>
      </c>
      <c r="K554">
        <v>71.88</v>
      </c>
      <c r="L554">
        <v>46.42</v>
      </c>
      <c r="M554">
        <v>25.46</v>
      </c>
      <c r="N554" t="s">
        <v>72</v>
      </c>
    </row>
    <row r="555" spans="1:14" x14ac:dyDescent="0.3">
      <c r="A555" t="s">
        <v>609</v>
      </c>
      <c r="B555" s="1">
        <v>45702</v>
      </c>
      <c r="C555" t="s">
        <v>15</v>
      </c>
      <c r="D555" t="s">
        <v>31</v>
      </c>
      <c r="E555" t="s">
        <v>24</v>
      </c>
      <c r="F555" t="s">
        <v>18</v>
      </c>
      <c r="G555" t="s">
        <v>46</v>
      </c>
      <c r="H555">
        <v>1</v>
      </c>
      <c r="I555">
        <v>77.45</v>
      </c>
      <c r="J555" s="13">
        <v>0.03</v>
      </c>
      <c r="K555">
        <v>75.13</v>
      </c>
      <c r="L555">
        <v>57.21</v>
      </c>
      <c r="M555">
        <v>17.920000000000002</v>
      </c>
      <c r="N555" t="s">
        <v>102</v>
      </c>
    </row>
    <row r="556" spans="1:14" x14ac:dyDescent="0.3">
      <c r="A556" t="s">
        <v>610</v>
      </c>
      <c r="B556" s="1">
        <v>45876</v>
      </c>
      <c r="C556" t="s">
        <v>30</v>
      </c>
      <c r="D556" t="s">
        <v>31</v>
      </c>
      <c r="E556" t="s">
        <v>17</v>
      </c>
      <c r="F556" t="s">
        <v>18</v>
      </c>
      <c r="G556" t="s">
        <v>37</v>
      </c>
      <c r="H556">
        <v>4</v>
      </c>
      <c r="I556">
        <v>60.17</v>
      </c>
      <c r="J556" s="13">
        <v>0.05</v>
      </c>
      <c r="K556">
        <v>228.63</v>
      </c>
      <c r="L556">
        <v>180.64</v>
      </c>
      <c r="M556">
        <v>47.99</v>
      </c>
      <c r="N556" t="s">
        <v>20</v>
      </c>
    </row>
    <row r="557" spans="1:14" x14ac:dyDescent="0.3">
      <c r="A557" t="s">
        <v>611</v>
      </c>
      <c r="B557" s="1">
        <v>45736</v>
      </c>
      <c r="C557" t="s">
        <v>69</v>
      </c>
      <c r="D557" t="s">
        <v>16</v>
      </c>
      <c r="E557" t="s">
        <v>24</v>
      </c>
      <c r="F557" t="s">
        <v>18</v>
      </c>
      <c r="G557" t="s">
        <v>50</v>
      </c>
      <c r="H557">
        <v>2</v>
      </c>
      <c r="I557">
        <v>306.95</v>
      </c>
      <c r="J557" s="13">
        <v>0.1</v>
      </c>
      <c r="K557">
        <v>552.51</v>
      </c>
      <c r="L557">
        <v>398.13</v>
      </c>
      <c r="M557">
        <v>154.38</v>
      </c>
      <c r="N557" t="s">
        <v>53</v>
      </c>
    </row>
    <row r="558" spans="1:14" x14ac:dyDescent="0.3">
      <c r="A558" t="s">
        <v>612</v>
      </c>
      <c r="B558" s="1">
        <v>45762</v>
      </c>
      <c r="C558" t="s">
        <v>36</v>
      </c>
      <c r="D558" t="s">
        <v>31</v>
      </c>
      <c r="E558" t="s">
        <v>17</v>
      </c>
      <c r="F558" t="s">
        <v>45</v>
      </c>
      <c r="G558" t="s">
        <v>25</v>
      </c>
      <c r="H558">
        <v>5</v>
      </c>
      <c r="I558">
        <v>152.13</v>
      </c>
      <c r="J558" s="13">
        <v>0.05</v>
      </c>
      <c r="K558">
        <v>722.6</v>
      </c>
      <c r="L558">
        <v>581.74</v>
      </c>
      <c r="M558">
        <v>140.86000000000001</v>
      </c>
      <c r="N558" t="s">
        <v>63</v>
      </c>
    </row>
    <row r="559" spans="1:14" x14ac:dyDescent="0.3">
      <c r="A559" t="s">
        <v>613</v>
      </c>
      <c r="B559" s="1">
        <v>45866</v>
      </c>
      <c r="C559" t="s">
        <v>59</v>
      </c>
      <c r="D559" t="s">
        <v>31</v>
      </c>
      <c r="E559" t="s">
        <v>24</v>
      </c>
      <c r="F559" t="s">
        <v>18</v>
      </c>
      <c r="G559" t="s">
        <v>37</v>
      </c>
      <c r="H559">
        <v>3</v>
      </c>
      <c r="I559">
        <v>29.75</v>
      </c>
      <c r="J559" s="13">
        <v>0.1</v>
      </c>
      <c r="K559">
        <v>80.33</v>
      </c>
      <c r="L559">
        <v>58.59</v>
      </c>
      <c r="M559">
        <v>21.74</v>
      </c>
      <c r="N559" t="s">
        <v>26</v>
      </c>
    </row>
    <row r="560" spans="1:14" x14ac:dyDescent="0.3">
      <c r="A560" t="s">
        <v>614</v>
      </c>
      <c r="B560" s="1">
        <v>45941</v>
      </c>
      <c r="C560" t="s">
        <v>36</v>
      </c>
      <c r="D560" t="s">
        <v>31</v>
      </c>
      <c r="E560" t="s">
        <v>24</v>
      </c>
      <c r="F560" t="s">
        <v>18</v>
      </c>
      <c r="G560" t="s">
        <v>37</v>
      </c>
      <c r="H560">
        <v>3</v>
      </c>
      <c r="I560">
        <v>157.56</v>
      </c>
      <c r="J560" s="13">
        <v>0.05</v>
      </c>
      <c r="K560">
        <v>449.03</v>
      </c>
      <c r="L560">
        <v>345.93</v>
      </c>
      <c r="M560">
        <v>103.1</v>
      </c>
      <c r="N560" t="s">
        <v>51</v>
      </c>
    </row>
    <row r="561" spans="1:14" x14ac:dyDescent="0.3">
      <c r="A561" t="s">
        <v>615</v>
      </c>
      <c r="B561" s="1">
        <v>45935</v>
      </c>
      <c r="C561" t="s">
        <v>69</v>
      </c>
      <c r="D561" t="s">
        <v>23</v>
      </c>
      <c r="E561" t="s">
        <v>17</v>
      </c>
      <c r="F561" t="s">
        <v>18</v>
      </c>
      <c r="G561" t="s">
        <v>37</v>
      </c>
      <c r="H561">
        <v>6</v>
      </c>
      <c r="I561">
        <v>258.14999999999998</v>
      </c>
      <c r="J561" s="13">
        <v>0.03</v>
      </c>
      <c r="K561">
        <v>1502.45</v>
      </c>
      <c r="L561">
        <v>1110.22</v>
      </c>
      <c r="M561">
        <v>392.23</v>
      </c>
      <c r="N561" t="s">
        <v>51</v>
      </c>
    </row>
    <row r="562" spans="1:14" x14ac:dyDescent="0.3">
      <c r="A562" t="s">
        <v>616</v>
      </c>
      <c r="B562" s="1">
        <v>45777</v>
      </c>
      <c r="C562" t="s">
        <v>22</v>
      </c>
      <c r="D562" t="s">
        <v>31</v>
      </c>
      <c r="E562" t="s">
        <v>24</v>
      </c>
      <c r="F562" t="s">
        <v>32</v>
      </c>
      <c r="G562" t="s">
        <v>37</v>
      </c>
      <c r="H562">
        <v>1</v>
      </c>
      <c r="I562">
        <v>82.63</v>
      </c>
      <c r="J562" s="13">
        <v>0</v>
      </c>
      <c r="K562">
        <v>82.63</v>
      </c>
      <c r="L562">
        <v>56.94</v>
      </c>
      <c r="M562">
        <v>25.69</v>
      </c>
      <c r="N562" t="s">
        <v>63</v>
      </c>
    </row>
    <row r="563" spans="1:14" x14ac:dyDescent="0.3">
      <c r="A563" t="s">
        <v>617</v>
      </c>
      <c r="B563" s="1">
        <v>45963</v>
      </c>
      <c r="C563" t="s">
        <v>15</v>
      </c>
      <c r="D563" t="s">
        <v>23</v>
      </c>
      <c r="E563" t="s">
        <v>17</v>
      </c>
      <c r="F563" t="s">
        <v>45</v>
      </c>
      <c r="G563" t="s">
        <v>56</v>
      </c>
      <c r="H563">
        <v>5</v>
      </c>
      <c r="I563">
        <v>71.180000000000007</v>
      </c>
      <c r="J563" s="13">
        <v>0.03</v>
      </c>
      <c r="K563">
        <v>345.24</v>
      </c>
      <c r="L563">
        <v>214.37</v>
      </c>
      <c r="M563">
        <v>130.87</v>
      </c>
      <c r="N563" t="s">
        <v>60</v>
      </c>
    </row>
    <row r="564" spans="1:14" x14ac:dyDescent="0.3">
      <c r="A564" t="s">
        <v>618</v>
      </c>
      <c r="B564" s="1">
        <v>45869</v>
      </c>
      <c r="C564" t="s">
        <v>36</v>
      </c>
      <c r="D564" t="s">
        <v>31</v>
      </c>
      <c r="E564" t="s">
        <v>17</v>
      </c>
      <c r="F564" t="s">
        <v>18</v>
      </c>
      <c r="G564" t="s">
        <v>25</v>
      </c>
      <c r="H564">
        <v>3</v>
      </c>
      <c r="I564">
        <v>156.15</v>
      </c>
      <c r="J564" s="13">
        <v>0.05</v>
      </c>
      <c r="K564">
        <v>445.03</v>
      </c>
      <c r="L564">
        <v>290.01</v>
      </c>
      <c r="M564">
        <v>155.02000000000001</v>
      </c>
      <c r="N564" t="s">
        <v>26</v>
      </c>
    </row>
    <row r="565" spans="1:14" x14ac:dyDescent="0.3">
      <c r="A565" t="s">
        <v>619</v>
      </c>
      <c r="B565" s="1">
        <v>45764</v>
      </c>
      <c r="C565" t="s">
        <v>67</v>
      </c>
      <c r="D565" t="s">
        <v>23</v>
      </c>
      <c r="E565" t="s">
        <v>24</v>
      </c>
      <c r="F565" t="s">
        <v>18</v>
      </c>
      <c r="G565" t="s">
        <v>46</v>
      </c>
      <c r="H565">
        <v>7</v>
      </c>
      <c r="I565">
        <v>183.88</v>
      </c>
      <c r="J565" s="13">
        <v>0.05</v>
      </c>
      <c r="K565">
        <v>1222.77</v>
      </c>
      <c r="L565">
        <v>900.33</v>
      </c>
      <c r="M565">
        <v>322.44</v>
      </c>
      <c r="N565" t="s">
        <v>63</v>
      </c>
    </row>
    <row r="566" spans="1:14" x14ac:dyDescent="0.3">
      <c r="A566" t="s">
        <v>620</v>
      </c>
      <c r="B566" s="1">
        <v>45831</v>
      </c>
      <c r="C566" t="s">
        <v>30</v>
      </c>
      <c r="D566" t="s">
        <v>23</v>
      </c>
      <c r="E566" t="s">
        <v>17</v>
      </c>
      <c r="F566" t="s">
        <v>45</v>
      </c>
      <c r="G566" t="s">
        <v>79</v>
      </c>
      <c r="H566">
        <v>1</v>
      </c>
      <c r="I566">
        <v>59.1</v>
      </c>
      <c r="J566" s="13">
        <v>0.05</v>
      </c>
      <c r="K566">
        <v>56.14</v>
      </c>
      <c r="L566">
        <v>42.45</v>
      </c>
      <c r="M566">
        <v>13.69</v>
      </c>
      <c r="N566" t="s">
        <v>76</v>
      </c>
    </row>
    <row r="567" spans="1:14" x14ac:dyDescent="0.3">
      <c r="A567" t="s">
        <v>621</v>
      </c>
      <c r="B567" s="1">
        <v>45976</v>
      </c>
      <c r="C567" t="s">
        <v>59</v>
      </c>
      <c r="D567" t="s">
        <v>16</v>
      </c>
      <c r="E567" t="s">
        <v>24</v>
      </c>
      <c r="F567" t="s">
        <v>45</v>
      </c>
      <c r="G567" t="s">
        <v>79</v>
      </c>
      <c r="H567">
        <v>3</v>
      </c>
      <c r="I567">
        <v>34.619999999999997</v>
      </c>
      <c r="J567" s="13">
        <v>0.1</v>
      </c>
      <c r="K567">
        <v>93.48</v>
      </c>
      <c r="L567">
        <v>77.099999999999994</v>
      </c>
      <c r="M567">
        <v>16.38</v>
      </c>
      <c r="N567" t="s">
        <v>60</v>
      </c>
    </row>
    <row r="568" spans="1:14" x14ac:dyDescent="0.3">
      <c r="A568" t="s">
        <v>622</v>
      </c>
      <c r="B568" s="1">
        <v>45846</v>
      </c>
      <c r="C568" t="s">
        <v>43</v>
      </c>
      <c r="D568" t="s">
        <v>41</v>
      </c>
      <c r="E568" t="s">
        <v>24</v>
      </c>
      <c r="F568" t="s">
        <v>18</v>
      </c>
      <c r="G568" t="s">
        <v>37</v>
      </c>
      <c r="H568">
        <v>3</v>
      </c>
      <c r="I568">
        <v>656.12</v>
      </c>
      <c r="J568" s="13">
        <v>0.03</v>
      </c>
      <c r="K568">
        <v>1909.31</v>
      </c>
      <c r="L568">
        <v>1356.04</v>
      </c>
      <c r="M568">
        <v>553.27</v>
      </c>
      <c r="N568" t="s">
        <v>26</v>
      </c>
    </row>
    <row r="569" spans="1:14" x14ac:dyDescent="0.3">
      <c r="A569" t="s">
        <v>623</v>
      </c>
      <c r="B569" s="1">
        <v>45805</v>
      </c>
      <c r="C569" t="s">
        <v>28</v>
      </c>
      <c r="D569" t="s">
        <v>23</v>
      </c>
      <c r="E569" t="s">
        <v>17</v>
      </c>
      <c r="F569" t="s">
        <v>18</v>
      </c>
      <c r="G569" t="s">
        <v>37</v>
      </c>
      <c r="H569">
        <v>3</v>
      </c>
      <c r="I569">
        <v>928.62</v>
      </c>
      <c r="J569" s="13">
        <v>0.05</v>
      </c>
      <c r="K569">
        <v>2646.56</v>
      </c>
      <c r="L569">
        <v>1960.8</v>
      </c>
      <c r="M569">
        <v>685.76</v>
      </c>
      <c r="N569" t="s">
        <v>72</v>
      </c>
    </row>
    <row r="570" spans="1:14" x14ac:dyDescent="0.3">
      <c r="A570" t="s">
        <v>624</v>
      </c>
      <c r="B570" s="1">
        <v>45725</v>
      </c>
      <c r="C570" t="s">
        <v>30</v>
      </c>
      <c r="D570" t="s">
        <v>31</v>
      </c>
      <c r="E570" t="s">
        <v>24</v>
      </c>
      <c r="F570" t="s">
        <v>45</v>
      </c>
      <c r="G570" t="s">
        <v>33</v>
      </c>
      <c r="H570">
        <v>4</v>
      </c>
      <c r="I570">
        <v>52.71</v>
      </c>
      <c r="J570" s="13">
        <v>0.05</v>
      </c>
      <c r="K570">
        <v>200.3</v>
      </c>
      <c r="L570">
        <v>131.4</v>
      </c>
      <c r="M570">
        <v>68.900000000000006</v>
      </c>
      <c r="N570" t="s">
        <v>53</v>
      </c>
    </row>
    <row r="571" spans="1:14" x14ac:dyDescent="0.3">
      <c r="A571" t="s">
        <v>625</v>
      </c>
      <c r="B571" s="1">
        <v>45755</v>
      </c>
      <c r="C571" t="s">
        <v>104</v>
      </c>
      <c r="D571" t="s">
        <v>23</v>
      </c>
      <c r="E571" t="s">
        <v>24</v>
      </c>
      <c r="F571" t="s">
        <v>18</v>
      </c>
      <c r="G571" t="s">
        <v>33</v>
      </c>
      <c r="H571">
        <v>3</v>
      </c>
      <c r="I571">
        <v>102.56</v>
      </c>
      <c r="J571" s="13">
        <v>0.05</v>
      </c>
      <c r="K571">
        <v>292.3</v>
      </c>
      <c r="L571">
        <v>193.97</v>
      </c>
      <c r="M571">
        <v>98.33</v>
      </c>
      <c r="N571" t="s">
        <v>63</v>
      </c>
    </row>
    <row r="572" spans="1:14" x14ac:dyDescent="0.3">
      <c r="A572" t="s">
        <v>626</v>
      </c>
      <c r="B572" s="1">
        <v>45961</v>
      </c>
      <c r="C572" t="s">
        <v>28</v>
      </c>
      <c r="D572" t="s">
        <v>23</v>
      </c>
      <c r="E572" t="s">
        <v>17</v>
      </c>
      <c r="F572" t="s">
        <v>32</v>
      </c>
      <c r="G572" t="s">
        <v>25</v>
      </c>
      <c r="H572">
        <v>2</v>
      </c>
      <c r="I572">
        <v>859.2</v>
      </c>
      <c r="J572" s="13">
        <v>0.03</v>
      </c>
      <c r="K572">
        <v>1666.84</v>
      </c>
      <c r="L572">
        <v>1129.9100000000001</v>
      </c>
      <c r="M572">
        <v>536.92999999999995</v>
      </c>
      <c r="N572" t="s">
        <v>51</v>
      </c>
    </row>
    <row r="573" spans="1:14" x14ac:dyDescent="0.3">
      <c r="A573" t="s">
        <v>627</v>
      </c>
      <c r="B573" s="1">
        <v>45819</v>
      </c>
      <c r="C573" t="s">
        <v>40</v>
      </c>
      <c r="D573" t="s">
        <v>23</v>
      </c>
      <c r="E573" t="s">
        <v>17</v>
      </c>
      <c r="F573" t="s">
        <v>18</v>
      </c>
      <c r="G573" t="s">
        <v>19</v>
      </c>
      <c r="H573">
        <v>4</v>
      </c>
      <c r="I573">
        <v>115.09</v>
      </c>
      <c r="J573" s="13">
        <v>0.15</v>
      </c>
      <c r="K573">
        <v>391.3</v>
      </c>
      <c r="L573">
        <v>319.81</v>
      </c>
      <c r="M573">
        <v>71.489999999999995</v>
      </c>
      <c r="N573" t="s">
        <v>76</v>
      </c>
    </row>
    <row r="574" spans="1:14" x14ac:dyDescent="0.3">
      <c r="A574" t="s">
        <v>628</v>
      </c>
      <c r="B574" s="1">
        <v>45728</v>
      </c>
      <c r="C574" t="s">
        <v>69</v>
      </c>
      <c r="D574" t="s">
        <v>23</v>
      </c>
      <c r="E574" t="s">
        <v>44</v>
      </c>
      <c r="F574" t="s">
        <v>18</v>
      </c>
      <c r="G574" t="s">
        <v>79</v>
      </c>
      <c r="H574">
        <v>5</v>
      </c>
      <c r="I574">
        <v>258.06</v>
      </c>
      <c r="J574" s="13">
        <v>0.05</v>
      </c>
      <c r="K574">
        <v>1225.77</v>
      </c>
      <c r="L574">
        <v>832.45</v>
      </c>
      <c r="M574">
        <v>393.32</v>
      </c>
      <c r="N574" t="s">
        <v>53</v>
      </c>
    </row>
    <row r="575" spans="1:14" x14ac:dyDescent="0.3">
      <c r="A575" t="s">
        <v>629</v>
      </c>
      <c r="B575" s="1">
        <v>45726</v>
      </c>
      <c r="C575" t="s">
        <v>48</v>
      </c>
      <c r="D575" t="s">
        <v>16</v>
      </c>
      <c r="E575" t="s">
        <v>17</v>
      </c>
      <c r="F575" t="s">
        <v>18</v>
      </c>
      <c r="G575" t="s">
        <v>79</v>
      </c>
      <c r="H575">
        <v>2</v>
      </c>
      <c r="I575">
        <v>311.73</v>
      </c>
      <c r="J575" s="13">
        <v>0.05</v>
      </c>
      <c r="K575">
        <v>592.29</v>
      </c>
      <c r="L575">
        <v>395.79</v>
      </c>
      <c r="M575">
        <v>196.5</v>
      </c>
      <c r="N575" t="s">
        <v>53</v>
      </c>
    </row>
    <row r="576" spans="1:14" x14ac:dyDescent="0.3">
      <c r="A576" t="s">
        <v>630</v>
      </c>
      <c r="B576" s="1">
        <v>45985</v>
      </c>
      <c r="C576" t="s">
        <v>30</v>
      </c>
      <c r="D576" t="s">
        <v>41</v>
      </c>
      <c r="E576" t="s">
        <v>17</v>
      </c>
      <c r="F576" t="s">
        <v>18</v>
      </c>
      <c r="G576" t="s">
        <v>25</v>
      </c>
      <c r="H576">
        <v>1</v>
      </c>
      <c r="I576">
        <v>51.83</v>
      </c>
      <c r="J576" s="13">
        <v>0.03</v>
      </c>
      <c r="K576">
        <v>50.27</v>
      </c>
      <c r="L576">
        <v>35.86</v>
      </c>
      <c r="M576">
        <v>14.41</v>
      </c>
      <c r="N576" t="s">
        <v>60</v>
      </c>
    </row>
    <row r="577" spans="1:14" x14ac:dyDescent="0.3">
      <c r="A577" t="s">
        <v>631</v>
      </c>
      <c r="B577" s="1">
        <v>45667</v>
      </c>
      <c r="C577" t="s">
        <v>30</v>
      </c>
      <c r="D577" t="s">
        <v>41</v>
      </c>
      <c r="E577" t="s">
        <v>24</v>
      </c>
      <c r="F577" t="s">
        <v>45</v>
      </c>
      <c r="G577" t="s">
        <v>46</v>
      </c>
      <c r="H577">
        <v>1</v>
      </c>
      <c r="I577">
        <v>57.16</v>
      </c>
      <c r="J577" s="13">
        <v>0</v>
      </c>
      <c r="K577">
        <v>57.16</v>
      </c>
      <c r="L577">
        <v>39.24</v>
      </c>
      <c r="M577">
        <v>17.920000000000002</v>
      </c>
      <c r="N577" t="s">
        <v>34</v>
      </c>
    </row>
    <row r="578" spans="1:14" x14ac:dyDescent="0.3">
      <c r="A578" t="s">
        <v>632</v>
      </c>
      <c r="B578" s="1">
        <v>45871</v>
      </c>
      <c r="C578" t="s">
        <v>36</v>
      </c>
      <c r="D578" t="s">
        <v>31</v>
      </c>
      <c r="E578" t="s">
        <v>44</v>
      </c>
      <c r="F578" t="s">
        <v>45</v>
      </c>
      <c r="G578" t="s">
        <v>37</v>
      </c>
      <c r="H578">
        <v>3</v>
      </c>
      <c r="I578">
        <v>146.87</v>
      </c>
      <c r="J578" s="13">
        <v>0</v>
      </c>
      <c r="K578">
        <v>440.6</v>
      </c>
      <c r="L578">
        <v>289.01</v>
      </c>
      <c r="M578">
        <v>151.59</v>
      </c>
      <c r="N578" t="s">
        <v>20</v>
      </c>
    </row>
    <row r="579" spans="1:14" x14ac:dyDescent="0.3">
      <c r="A579" t="s">
        <v>633</v>
      </c>
      <c r="B579" s="1">
        <v>45797</v>
      </c>
      <c r="C579" t="s">
        <v>69</v>
      </c>
      <c r="D579" t="s">
        <v>31</v>
      </c>
      <c r="E579" t="s">
        <v>24</v>
      </c>
      <c r="F579" t="s">
        <v>18</v>
      </c>
      <c r="G579" t="s">
        <v>33</v>
      </c>
      <c r="H579">
        <v>1</v>
      </c>
      <c r="I579">
        <v>292.38</v>
      </c>
      <c r="J579" s="13">
        <v>0.03</v>
      </c>
      <c r="K579">
        <v>283.61</v>
      </c>
      <c r="L579">
        <v>198.07</v>
      </c>
      <c r="M579">
        <v>85.54</v>
      </c>
      <c r="N579" t="s">
        <v>72</v>
      </c>
    </row>
    <row r="580" spans="1:14" x14ac:dyDescent="0.3">
      <c r="A580" t="s">
        <v>634</v>
      </c>
      <c r="B580" s="1">
        <v>45910</v>
      </c>
      <c r="C580" t="s">
        <v>104</v>
      </c>
      <c r="D580" t="s">
        <v>41</v>
      </c>
      <c r="E580" t="s">
        <v>44</v>
      </c>
      <c r="F580" t="s">
        <v>45</v>
      </c>
      <c r="G580" t="s">
        <v>25</v>
      </c>
      <c r="H580">
        <v>5</v>
      </c>
      <c r="I580">
        <v>89.25</v>
      </c>
      <c r="J580" s="13">
        <v>0</v>
      </c>
      <c r="K580">
        <v>446.27</v>
      </c>
      <c r="L580">
        <v>266.42</v>
      </c>
      <c r="M580">
        <v>179.85</v>
      </c>
      <c r="N580" t="s">
        <v>38</v>
      </c>
    </row>
    <row r="581" spans="1:14" x14ac:dyDescent="0.3">
      <c r="A581" t="s">
        <v>635</v>
      </c>
      <c r="B581" s="1">
        <v>45786</v>
      </c>
      <c r="C581" t="s">
        <v>36</v>
      </c>
      <c r="D581" t="s">
        <v>41</v>
      </c>
      <c r="E581" t="s">
        <v>17</v>
      </c>
      <c r="F581" t="s">
        <v>18</v>
      </c>
      <c r="G581" t="s">
        <v>33</v>
      </c>
      <c r="H581">
        <v>6</v>
      </c>
      <c r="I581">
        <v>140.56</v>
      </c>
      <c r="J581" s="13">
        <v>0.1</v>
      </c>
      <c r="K581">
        <v>759.04</v>
      </c>
      <c r="L581">
        <v>573.9</v>
      </c>
      <c r="M581">
        <v>185.14</v>
      </c>
      <c r="N581" t="s">
        <v>72</v>
      </c>
    </row>
    <row r="582" spans="1:14" x14ac:dyDescent="0.3">
      <c r="A582" t="s">
        <v>636</v>
      </c>
      <c r="B582" s="1">
        <v>45951</v>
      </c>
      <c r="C582" t="s">
        <v>59</v>
      </c>
      <c r="D582" t="s">
        <v>23</v>
      </c>
      <c r="E582" t="s">
        <v>24</v>
      </c>
      <c r="F582" t="s">
        <v>45</v>
      </c>
      <c r="G582" t="s">
        <v>56</v>
      </c>
      <c r="H582">
        <v>1</v>
      </c>
      <c r="I582">
        <v>34.25</v>
      </c>
      <c r="J582" s="13">
        <v>0</v>
      </c>
      <c r="K582">
        <v>34.25</v>
      </c>
      <c r="L582">
        <v>24.14</v>
      </c>
      <c r="M582">
        <v>10.11</v>
      </c>
      <c r="N582" t="s">
        <v>51</v>
      </c>
    </row>
    <row r="583" spans="1:14" x14ac:dyDescent="0.3">
      <c r="A583" t="s">
        <v>637</v>
      </c>
      <c r="B583" s="1">
        <v>45877</v>
      </c>
      <c r="C583" t="s">
        <v>104</v>
      </c>
      <c r="D583" t="s">
        <v>31</v>
      </c>
      <c r="E583" t="s">
        <v>17</v>
      </c>
      <c r="F583" t="s">
        <v>45</v>
      </c>
      <c r="G583" t="s">
        <v>37</v>
      </c>
      <c r="H583">
        <v>1</v>
      </c>
      <c r="I583">
        <v>97.17</v>
      </c>
      <c r="J583" s="13">
        <v>0.05</v>
      </c>
      <c r="K583">
        <v>92.31</v>
      </c>
      <c r="L583">
        <v>64.7</v>
      </c>
      <c r="M583">
        <v>27.61</v>
      </c>
      <c r="N583" t="s">
        <v>20</v>
      </c>
    </row>
    <row r="584" spans="1:14" x14ac:dyDescent="0.3">
      <c r="A584" t="s">
        <v>638</v>
      </c>
      <c r="B584" s="1">
        <v>45988</v>
      </c>
      <c r="C584" t="s">
        <v>30</v>
      </c>
      <c r="D584" t="s">
        <v>16</v>
      </c>
      <c r="E584" t="s">
        <v>24</v>
      </c>
      <c r="F584" t="s">
        <v>18</v>
      </c>
      <c r="G584" t="s">
        <v>25</v>
      </c>
      <c r="H584">
        <v>4</v>
      </c>
      <c r="I584">
        <v>55.05</v>
      </c>
      <c r="J584" s="13">
        <v>0</v>
      </c>
      <c r="K584">
        <v>220.22</v>
      </c>
      <c r="L584">
        <v>153.13</v>
      </c>
      <c r="M584">
        <v>67.09</v>
      </c>
      <c r="N584" t="s">
        <v>60</v>
      </c>
    </row>
    <row r="585" spans="1:14" x14ac:dyDescent="0.3">
      <c r="A585" t="s">
        <v>639</v>
      </c>
      <c r="B585" s="1">
        <v>45832</v>
      </c>
      <c r="C585" t="s">
        <v>15</v>
      </c>
      <c r="D585" t="s">
        <v>31</v>
      </c>
      <c r="E585" t="s">
        <v>24</v>
      </c>
      <c r="F585" t="s">
        <v>45</v>
      </c>
      <c r="G585" t="s">
        <v>79</v>
      </c>
      <c r="H585">
        <v>3</v>
      </c>
      <c r="I585">
        <v>78.290000000000006</v>
      </c>
      <c r="J585" s="13">
        <v>0.1</v>
      </c>
      <c r="K585">
        <v>211.37</v>
      </c>
      <c r="L585">
        <v>148</v>
      </c>
      <c r="M585">
        <v>63.37</v>
      </c>
      <c r="N585" t="s">
        <v>76</v>
      </c>
    </row>
    <row r="586" spans="1:14" x14ac:dyDescent="0.3">
      <c r="A586" t="s">
        <v>640</v>
      </c>
      <c r="B586" s="1">
        <v>45829</v>
      </c>
      <c r="C586" t="s">
        <v>36</v>
      </c>
      <c r="D586" t="s">
        <v>31</v>
      </c>
      <c r="E586" t="s">
        <v>24</v>
      </c>
      <c r="F586" t="s">
        <v>45</v>
      </c>
      <c r="G586" t="s">
        <v>79</v>
      </c>
      <c r="H586">
        <v>2</v>
      </c>
      <c r="I586">
        <v>147.06</v>
      </c>
      <c r="J586" s="13">
        <v>0.03</v>
      </c>
      <c r="K586">
        <v>285.29000000000002</v>
      </c>
      <c r="L586">
        <v>176.86</v>
      </c>
      <c r="M586">
        <v>108.43</v>
      </c>
      <c r="N586" t="s">
        <v>76</v>
      </c>
    </row>
    <row r="587" spans="1:14" x14ac:dyDescent="0.3">
      <c r="A587" t="s">
        <v>641</v>
      </c>
      <c r="B587" s="1">
        <v>45699</v>
      </c>
      <c r="C587" t="s">
        <v>48</v>
      </c>
      <c r="D587" t="s">
        <v>16</v>
      </c>
      <c r="E587" t="s">
        <v>17</v>
      </c>
      <c r="F587" t="s">
        <v>18</v>
      </c>
      <c r="G587" t="s">
        <v>37</v>
      </c>
      <c r="H587">
        <v>3</v>
      </c>
      <c r="I587">
        <v>344.4</v>
      </c>
      <c r="J587" s="13">
        <v>0.03</v>
      </c>
      <c r="K587">
        <v>1002.19</v>
      </c>
      <c r="L587">
        <v>706.12</v>
      </c>
      <c r="M587">
        <v>296.07</v>
      </c>
      <c r="N587" t="s">
        <v>102</v>
      </c>
    </row>
    <row r="588" spans="1:14" x14ac:dyDescent="0.3">
      <c r="A588" t="s">
        <v>642</v>
      </c>
      <c r="B588" s="1">
        <v>45675</v>
      </c>
      <c r="C588" t="s">
        <v>67</v>
      </c>
      <c r="D588" t="s">
        <v>31</v>
      </c>
      <c r="E588" t="s">
        <v>17</v>
      </c>
      <c r="F588" t="s">
        <v>18</v>
      </c>
      <c r="G588" t="s">
        <v>25</v>
      </c>
      <c r="H588">
        <v>2</v>
      </c>
      <c r="I588">
        <v>181.71</v>
      </c>
      <c r="J588" s="13">
        <v>0.1</v>
      </c>
      <c r="K588">
        <v>327.08</v>
      </c>
      <c r="L588">
        <v>214.87</v>
      </c>
      <c r="M588">
        <v>112.21</v>
      </c>
      <c r="N588" t="s">
        <v>34</v>
      </c>
    </row>
    <row r="589" spans="1:14" x14ac:dyDescent="0.3">
      <c r="A589" t="s">
        <v>643</v>
      </c>
      <c r="B589" s="1">
        <v>45733</v>
      </c>
      <c r="C589" t="s">
        <v>30</v>
      </c>
      <c r="D589" t="s">
        <v>41</v>
      </c>
      <c r="E589" t="s">
        <v>24</v>
      </c>
      <c r="F589" t="s">
        <v>32</v>
      </c>
      <c r="G589" t="s">
        <v>56</v>
      </c>
      <c r="H589">
        <v>5</v>
      </c>
      <c r="I589">
        <v>53.28</v>
      </c>
      <c r="J589" s="13">
        <v>0.05</v>
      </c>
      <c r="K589">
        <v>253.06</v>
      </c>
      <c r="L589">
        <v>181.92</v>
      </c>
      <c r="M589">
        <v>71.14</v>
      </c>
      <c r="N589" t="s">
        <v>53</v>
      </c>
    </row>
    <row r="590" spans="1:14" x14ac:dyDescent="0.3">
      <c r="A590" t="s">
        <v>644</v>
      </c>
      <c r="B590" s="1">
        <v>45861</v>
      </c>
      <c r="C590" t="s">
        <v>48</v>
      </c>
      <c r="D590" t="s">
        <v>23</v>
      </c>
      <c r="E590" t="s">
        <v>24</v>
      </c>
      <c r="F590" t="s">
        <v>45</v>
      </c>
      <c r="G590" t="s">
        <v>50</v>
      </c>
      <c r="H590">
        <v>1</v>
      </c>
      <c r="I590">
        <v>353.25</v>
      </c>
      <c r="J590" s="13">
        <v>0.03</v>
      </c>
      <c r="K590">
        <v>342.66</v>
      </c>
      <c r="L590">
        <v>265.01</v>
      </c>
      <c r="M590">
        <v>77.650000000000006</v>
      </c>
      <c r="N590" t="s">
        <v>26</v>
      </c>
    </row>
    <row r="591" spans="1:14" x14ac:dyDescent="0.3">
      <c r="A591" t="s">
        <v>645</v>
      </c>
      <c r="B591" s="1">
        <v>45838</v>
      </c>
      <c r="C591" t="s">
        <v>15</v>
      </c>
      <c r="D591" t="s">
        <v>41</v>
      </c>
      <c r="E591" t="s">
        <v>24</v>
      </c>
      <c r="F591" t="s">
        <v>18</v>
      </c>
      <c r="G591" t="s">
        <v>46</v>
      </c>
      <c r="H591">
        <v>3</v>
      </c>
      <c r="I591">
        <v>80.7</v>
      </c>
      <c r="J591" s="13">
        <v>0.1</v>
      </c>
      <c r="K591">
        <v>217.88</v>
      </c>
      <c r="L591">
        <v>170.6</v>
      </c>
      <c r="M591">
        <v>47.28</v>
      </c>
      <c r="N591" t="s">
        <v>76</v>
      </c>
    </row>
    <row r="592" spans="1:14" x14ac:dyDescent="0.3">
      <c r="A592" t="s">
        <v>646</v>
      </c>
      <c r="B592" s="1">
        <v>45855</v>
      </c>
      <c r="C592" t="s">
        <v>40</v>
      </c>
      <c r="D592" t="s">
        <v>31</v>
      </c>
      <c r="E592" t="s">
        <v>24</v>
      </c>
      <c r="F592" t="s">
        <v>45</v>
      </c>
      <c r="G592" t="s">
        <v>56</v>
      </c>
      <c r="H592">
        <v>2</v>
      </c>
      <c r="I592">
        <v>107.85</v>
      </c>
      <c r="J592" s="13">
        <v>0.05</v>
      </c>
      <c r="K592">
        <v>204.92</v>
      </c>
      <c r="L592">
        <v>131.79</v>
      </c>
      <c r="M592">
        <v>73.13</v>
      </c>
      <c r="N592" t="s">
        <v>26</v>
      </c>
    </row>
    <row r="593" spans="1:14" x14ac:dyDescent="0.3">
      <c r="A593" t="s">
        <v>647</v>
      </c>
      <c r="B593" s="1">
        <v>45808</v>
      </c>
      <c r="C593" t="s">
        <v>28</v>
      </c>
      <c r="D593" t="s">
        <v>16</v>
      </c>
      <c r="E593" t="s">
        <v>24</v>
      </c>
      <c r="F593" t="s">
        <v>45</v>
      </c>
      <c r="G593" t="s">
        <v>33</v>
      </c>
      <c r="H593">
        <v>2</v>
      </c>
      <c r="I593">
        <v>916.97</v>
      </c>
      <c r="J593" s="13">
        <v>0</v>
      </c>
      <c r="K593">
        <v>1833.94</v>
      </c>
      <c r="L593">
        <v>1424.85</v>
      </c>
      <c r="M593">
        <v>409.09</v>
      </c>
      <c r="N593" t="s">
        <v>72</v>
      </c>
    </row>
    <row r="594" spans="1:14" x14ac:dyDescent="0.3">
      <c r="A594" t="s">
        <v>648</v>
      </c>
      <c r="B594" s="1">
        <v>45913</v>
      </c>
      <c r="C594" t="s">
        <v>48</v>
      </c>
      <c r="D594" t="s">
        <v>23</v>
      </c>
      <c r="E594" t="s">
        <v>24</v>
      </c>
      <c r="F594" t="s">
        <v>18</v>
      </c>
      <c r="G594" t="s">
        <v>56</v>
      </c>
      <c r="H594">
        <v>2</v>
      </c>
      <c r="I594">
        <v>360.98</v>
      </c>
      <c r="J594" s="13">
        <v>0</v>
      </c>
      <c r="K594">
        <v>721.97</v>
      </c>
      <c r="L594">
        <v>473.92</v>
      </c>
      <c r="M594">
        <v>248.05</v>
      </c>
      <c r="N594" t="s">
        <v>38</v>
      </c>
    </row>
    <row r="595" spans="1:14" x14ac:dyDescent="0.3">
      <c r="A595" t="s">
        <v>649</v>
      </c>
      <c r="B595" s="1">
        <v>45990</v>
      </c>
      <c r="C595" t="s">
        <v>43</v>
      </c>
      <c r="D595" t="s">
        <v>16</v>
      </c>
      <c r="E595" t="s">
        <v>44</v>
      </c>
      <c r="F595" t="s">
        <v>45</v>
      </c>
      <c r="G595" t="s">
        <v>25</v>
      </c>
      <c r="H595">
        <v>5</v>
      </c>
      <c r="I595">
        <v>606.11</v>
      </c>
      <c r="J595" s="13">
        <v>0</v>
      </c>
      <c r="K595">
        <v>3030.54</v>
      </c>
      <c r="L595">
        <v>2324.67</v>
      </c>
      <c r="M595">
        <v>705.87</v>
      </c>
      <c r="N595" t="s">
        <v>60</v>
      </c>
    </row>
    <row r="596" spans="1:14" x14ac:dyDescent="0.3">
      <c r="A596" t="s">
        <v>650</v>
      </c>
      <c r="B596" s="1">
        <v>45758</v>
      </c>
      <c r="C596" t="s">
        <v>28</v>
      </c>
      <c r="D596" t="s">
        <v>23</v>
      </c>
      <c r="E596" t="s">
        <v>44</v>
      </c>
      <c r="F596" t="s">
        <v>18</v>
      </c>
      <c r="G596" t="s">
        <v>46</v>
      </c>
      <c r="H596">
        <v>3</v>
      </c>
      <c r="I596">
        <v>936.44</v>
      </c>
      <c r="J596" s="13">
        <v>0</v>
      </c>
      <c r="K596">
        <v>2809.33</v>
      </c>
      <c r="L596">
        <v>1981.96</v>
      </c>
      <c r="M596">
        <v>827.37</v>
      </c>
      <c r="N596" t="s">
        <v>63</v>
      </c>
    </row>
    <row r="597" spans="1:14" x14ac:dyDescent="0.3">
      <c r="A597" t="s">
        <v>651</v>
      </c>
      <c r="B597" s="1">
        <v>45661</v>
      </c>
      <c r="C597" t="s">
        <v>22</v>
      </c>
      <c r="D597" t="s">
        <v>16</v>
      </c>
      <c r="E597" t="s">
        <v>17</v>
      </c>
      <c r="F597" t="s">
        <v>45</v>
      </c>
      <c r="G597" t="s">
        <v>50</v>
      </c>
      <c r="H597">
        <v>2</v>
      </c>
      <c r="I597">
        <v>77.58</v>
      </c>
      <c r="J597" s="13">
        <v>0.03</v>
      </c>
      <c r="K597">
        <v>150.51</v>
      </c>
      <c r="L597">
        <v>99.45</v>
      </c>
      <c r="M597">
        <v>51.06</v>
      </c>
      <c r="N597" t="s">
        <v>34</v>
      </c>
    </row>
    <row r="598" spans="1:14" x14ac:dyDescent="0.3">
      <c r="A598" t="s">
        <v>652</v>
      </c>
      <c r="B598" s="1">
        <v>45720</v>
      </c>
      <c r="C598" t="s">
        <v>15</v>
      </c>
      <c r="D598" t="s">
        <v>31</v>
      </c>
      <c r="E598" t="s">
        <v>24</v>
      </c>
      <c r="F598" t="s">
        <v>45</v>
      </c>
      <c r="G598" t="s">
        <v>33</v>
      </c>
      <c r="H598">
        <v>3</v>
      </c>
      <c r="I598">
        <v>71.09</v>
      </c>
      <c r="J598" s="13">
        <v>0.05</v>
      </c>
      <c r="K598">
        <v>202.59</v>
      </c>
      <c r="L598">
        <v>159.96</v>
      </c>
      <c r="M598">
        <v>42.63</v>
      </c>
      <c r="N598" t="s">
        <v>53</v>
      </c>
    </row>
    <row r="599" spans="1:14" x14ac:dyDescent="0.3">
      <c r="A599" t="s">
        <v>653</v>
      </c>
      <c r="B599" s="1">
        <v>45773</v>
      </c>
      <c r="C599" t="s">
        <v>104</v>
      </c>
      <c r="D599" t="s">
        <v>31</v>
      </c>
      <c r="E599" t="s">
        <v>24</v>
      </c>
      <c r="F599" t="s">
        <v>18</v>
      </c>
      <c r="G599" t="s">
        <v>19</v>
      </c>
      <c r="H599">
        <v>1</v>
      </c>
      <c r="I599">
        <v>88.03</v>
      </c>
      <c r="J599" s="13">
        <v>0.03</v>
      </c>
      <c r="K599">
        <v>85.39</v>
      </c>
      <c r="L599">
        <v>67.33</v>
      </c>
      <c r="M599">
        <v>18.059999999999999</v>
      </c>
      <c r="N599" t="s">
        <v>63</v>
      </c>
    </row>
    <row r="600" spans="1:14" x14ac:dyDescent="0.3">
      <c r="A600" t="s">
        <v>654</v>
      </c>
      <c r="B600" s="1">
        <v>45747</v>
      </c>
      <c r="C600" t="s">
        <v>59</v>
      </c>
      <c r="D600" t="s">
        <v>31</v>
      </c>
      <c r="E600" t="s">
        <v>24</v>
      </c>
      <c r="F600" t="s">
        <v>45</v>
      </c>
      <c r="G600" t="s">
        <v>33</v>
      </c>
      <c r="H600">
        <v>1</v>
      </c>
      <c r="I600">
        <v>31.36</v>
      </c>
      <c r="J600" s="13">
        <v>0.05</v>
      </c>
      <c r="K600">
        <v>29.79</v>
      </c>
      <c r="L600">
        <v>23.74</v>
      </c>
      <c r="M600">
        <v>6.05</v>
      </c>
      <c r="N600" t="s">
        <v>53</v>
      </c>
    </row>
    <row r="601" spans="1:14" x14ac:dyDescent="0.3">
      <c r="A601" t="s">
        <v>655</v>
      </c>
      <c r="B601" s="1">
        <v>45904</v>
      </c>
      <c r="C601" t="s">
        <v>22</v>
      </c>
      <c r="D601" t="s">
        <v>41</v>
      </c>
      <c r="E601" t="s">
        <v>24</v>
      </c>
      <c r="F601" t="s">
        <v>18</v>
      </c>
      <c r="G601" t="s">
        <v>19</v>
      </c>
      <c r="H601">
        <v>3</v>
      </c>
      <c r="I601">
        <v>83.48</v>
      </c>
      <c r="J601" s="13">
        <v>0</v>
      </c>
      <c r="K601">
        <v>250.45</v>
      </c>
      <c r="L601">
        <v>179.91</v>
      </c>
      <c r="M601">
        <v>70.540000000000006</v>
      </c>
      <c r="N601" t="s">
        <v>38</v>
      </c>
    </row>
    <row r="602" spans="1:14" x14ac:dyDescent="0.3">
      <c r="A602" t="s">
        <v>656</v>
      </c>
      <c r="B602" s="1">
        <v>45842</v>
      </c>
      <c r="C602" t="s">
        <v>59</v>
      </c>
      <c r="D602" t="s">
        <v>16</v>
      </c>
      <c r="E602" t="s">
        <v>17</v>
      </c>
      <c r="F602" t="s">
        <v>18</v>
      </c>
      <c r="G602" t="s">
        <v>19</v>
      </c>
      <c r="H602">
        <v>5</v>
      </c>
      <c r="I602">
        <v>32.090000000000003</v>
      </c>
      <c r="J602" s="13">
        <v>0.05</v>
      </c>
      <c r="K602">
        <v>152.44</v>
      </c>
      <c r="L602">
        <v>104.61</v>
      </c>
      <c r="M602">
        <v>47.83</v>
      </c>
      <c r="N602" t="s">
        <v>26</v>
      </c>
    </row>
    <row r="603" spans="1:14" x14ac:dyDescent="0.3">
      <c r="A603" t="s">
        <v>657</v>
      </c>
      <c r="B603" s="1">
        <v>45899</v>
      </c>
      <c r="C603" t="s">
        <v>104</v>
      </c>
      <c r="D603" t="s">
        <v>16</v>
      </c>
      <c r="E603" t="s">
        <v>24</v>
      </c>
      <c r="F603" t="s">
        <v>18</v>
      </c>
      <c r="G603" t="s">
        <v>56</v>
      </c>
      <c r="H603">
        <v>7</v>
      </c>
      <c r="I603">
        <v>92.83</v>
      </c>
      <c r="J603" s="13">
        <v>0.05</v>
      </c>
      <c r="K603">
        <v>617.35</v>
      </c>
      <c r="L603">
        <v>387.73</v>
      </c>
      <c r="M603">
        <v>229.62</v>
      </c>
      <c r="N603" t="s">
        <v>20</v>
      </c>
    </row>
    <row r="604" spans="1:14" x14ac:dyDescent="0.3">
      <c r="A604" t="s">
        <v>658</v>
      </c>
      <c r="B604" s="1">
        <v>45864</v>
      </c>
      <c r="C604" t="s">
        <v>15</v>
      </c>
      <c r="D604" t="s">
        <v>31</v>
      </c>
      <c r="E604" t="s">
        <v>44</v>
      </c>
      <c r="F604" t="s">
        <v>18</v>
      </c>
      <c r="G604" t="s">
        <v>46</v>
      </c>
      <c r="H604">
        <v>1</v>
      </c>
      <c r="I604">
        <v>80.67</v>
      </c>
      <c r="J604" s="13">
        <v>0.1</v>
      </c>
      <c r="K604">
        <v>72.599999999999994</v>
      </c>
      <c r="L604">
        <v>55.78</v>
      </c>
      <c r="M604">
        <v>16.82</v>
      </c>
      <c r="N604" t="s">
        <v>26</v>
      </c>
    </row>
    <row r="605" spans="1:14" x14ac:dyDescent="0.3">
      <c r="A605" t="s">
        <v>659</v>
      </c>
      <c r="B605" s="1">
        <v>46013</v>
      </c>
      <c r="C605" t="s">
        <v>104</v>
      </c>
      <c r="D605" t="s">
        <v>23</v>
      </c>
      <c r="E605" t="s">
        <v>17</v>
      </c>
      <c r="F605" t="s">
        <v>18</v>
      </c>
      <c r="G605" t="s">
        <v>46</v>
      </c>
      <c r="H605">
        <v>4</v>
      </c>
      <c r="I605">
        <v>101.45</v>
      </c>
      <c r="J605" s="13">
        <v>0.05</v>
      </c>
      <c r="K605">
        <v>385.51</v>
      </c>
      <c r="L605">
        <v>249.62</v>
      </c>
      <c r="M605">
        <v>135.88999999999999</v>
      </c>
      <c r="N605" t="s">
        <v>70</v>
      </c>
    </row>
    <row r="606" spans="1:14" x14ac:dyDescent="0.3">
      <c r="A606" t="s">
        <v>660</v>
      </c>
      <c r="B606" s="1">
        <v>45699</v>
      </c>
      <c r="C606" t="s">
        <v>28</v>
      </c>
      <c r="D606" t="s">
        <v>31</v>
      </c>
      <c r="E606" t="s">
        <v>24</v>
      </c>
      <c r="F606" t="s">
        <v>32</v>
      </c>
      <c r="G606" t="s">
        <v>37</v>
      </c>
      <c r="H606">
        <v>2</v>
      </c>
      <c r="I606">
        <v>869.31</v>
      </c>
      <c r="J606" s="13">
        <v>0.1</v>
      </c>
      <c r="K606">
        <v>1564.75</v>
      </c>
      <c r="L606">
        <v>1010.88</v>
      </c>
      <c r="M606">
        <v>553.87</v>
      </c>
      <c r="N606" t="s">
        <v>102</v>
      </c>
    </row>
    <row r="607" spans="1:14" x14ac:dyDescent="0.3">
      <c r="A607" t="s">
        <v>661</v>
      </c>
      <c r="B607" s="1">
        <v>45888</v>
      </c>
      <c r="C607" t="s">
        <v>30</v>
      </c>
      <c r="D607" t="s">
        <v>41</v>
      </c>
      <c r="E607" t="s">
        <v>24</v>
      </c>
      <c r="F607" t="s">
        <v>18</v>
      </c>
      <c r="G607" t="s">
        <v>50</v>
      </c>
      <c r="H607">
        <v>4</v>
      </c>
      <c r="I607">
        <v>53.37</v>
      </c>
      <c r="J607" s="13">
        <v>0.05</v>
      </c>
      <c r="K607">
        <v>202.81</v>
      </c>
      <c r="L607">
        <v>129.13999999999999</v>
      </c>
      <c r="M607">
        <v>73.67</v>
      </c>
      <c r="N607" t="s">
        <v>20</v>
      </c>
    </row>
    <row r="608" spans="1:14" x14ac:dyDescent="0.3">
      <c r="A608" t="s">
        <v>662</v>
      </c>
      <c r="B608" s="1">
        <v>45828</v>
      </c>
      <c r="C608" t="s">
        <v>28</v>
      </c>
      <c r="D608" t="s">
        <v>16</v>
      </c>
      <c r="E608" t="s">
        <v>24</v>
      </c>
      <c r="F608" t="s">
        <v>45</v>
      </c>
      <c r="G608" t="s">
        <v>56</v>
      </c>
      <c r="H608">
        <v>1</v>
      </c>
      <c r="I608">
        <v>858.7</v>
      </c>
      <c r="J608" s="13">
        <v>0.03</v>
      </c>
      <c r="K608">
        <v>832.93</v>
      </c>
      <c r="L608">
        <v>658.76</v>
      </c>
      <c r="M608">
        <v>174.17</v>
      </c>
      <c r="N608" t="s">
        <v>76</v>
      </c>
    </row>
    <row r="609" spans="1:14" x14ac:dyDescent="0.3">
      <c r="A609" t="s">
        <v>663</v>
      </c>
      <c r="B609" s="1">
        <v>45923</v>
      </c>
      <c r="C609" t="s">
        <v>67</v>
      </c>
      <c r="D609" t="s">
        <v>16</v>
      </c>
      <c r="E609" t="s">
        <v>44</v>
      </c>
      <c r="F609" t="s">
        <v>32</v>
      </c>
      <c r="G609" t="s">
        <v>37</v>
      </c>
      <c r="H609">
        <v>2</v>
      </c>
      <c r="I609">
        <v>204.95</v>
      </c>
      <c r="J609" s="13">
        <v>0.05</v>
      </c>
      <c r="K609">
        <v>389.4</v>
      </c>
      <c r="L609">
        <v>276.83999999999997</v>
      </c>
      <c r="M609">
        <v>112.56</v>
      </c>
      <c r="N609" t="s">
        <v>38</v>
      </c>
    </row>
    <row r="610" spans="1:14" x14ac:dyDescent="0.3">
      <c r="A610" t="s">
        <v>664</v>
      </c>
      <c r="B610" s="1">
        <v>45839</v>
      </c>
      <c r="C610" t="s">
        <v>104</v>
      </c>
      <c r="D610" t="s">
        <v>31</v>
      </c>
      <c r="E610" t="s">
        <v>44</v>
      </c>
      <c r="F610" t="s">
        <v>18</v>
      </c>
      <c r="G610" t="s">
        <v>37</v>
      </c>
      <c r="H610">
        <v>1</v>
      </c>
      <c r="I610">
        <v>103.46</v>
      </c>
      <c r="J610" s="13">
        <v>0.1</v>
      </c>
      <c r="K610">
        <v>93.12</v>
      </c>
      <c r="L610">
        <v>61.05</v>
      </c>
      <c r="M610">
        <v>32.07</v>
      </c>
      <c r="N610" t="s">
        <v>26</v>
      </c>
    </row>
    <row r="611" spans="1:14" x14ac:dyDescent="0.3">
      <c r="A611" t="s">
        <v>665</v>
      </c>
      <c r="B611" s="1">
        <v>45934</v>
      </c>
      <c r="C611" t="s">
        <v>59</v>
      </c>
      <c r="D611" t="s">
        <v>16</v>
      </c>
      <c r="E611" t="s">
        <v>24</v>
      </c>
      <c r="F611" t="s">
        <v>18</v>
      </c>
      <c r="G611" t="s">
        <v>46</v>
      </c>
      <c r="H611">
        <v>5</v>
      </c>
      <c r="I611">
        <v>34.89</v>
      </c>
      <c r="J611" s="13">
        <v>0.05</v>
      </c>
      <c r="K611">
        <v>165.75</v>
      </c>
      <c r="L611">
        <v>121.7</v>
      </c>
      <c r="M611">
        <v>44.05</v>
      </c>
      <c r="N611" t="s">
        <v>51</v>
      </c>
    </row>
    <row r="612" spans="1:14" x14ac:dyDescent="0.3">
      <c r="A612" t="s">
        <v>666</v>
      </c>
      <c r="B612" s="1">
        <v>45841</v>
      </c>
      <c r="C612" t="s">
        <v>59</v>
      </c>
      <c r="D612" t="s">
        <v>16</v>
      </c>
      <c r="E612" t="s">
        <v>17</v>
      </c>
      <c r="F612" t="s">
        <v>18</v>
      </c>
      <c r="G612" t="s">
        <v>56</v>
      </c>
      <c r="H612">
        <v>1</v>
      </c>
      <c r="I612">
        <v>29.21</v>
      </c>
      <c r="J612" s="13">
        <v>0</v>
      </c>
      <c r="K612">
        <v>29.21</v>
      </c>
      <c r="L612">
        <v>22.02</v>
      </c>
      <c r="M612">
        <v>7.19</v>
      </c>
      <c r="N612" t="s">
        <v>26</v>
      </c>
    </row>
    <row r="613" spans="1:14" x14ac:dyDescent="0.3">
      <c r="A613" t="s">
        <v>667</v>
      </c>
      <c r="B613" s="1">
        <v>45775</v>
      </c>
      <c r="C613" t="s">
        <v>36</v>
      </c>
      <c r="D613" t="s">
        <v>16</v>
      </c>
      <c r="E613" t="s">
        <v>17</v>
      </c>
      <c r="F613" t="s">
        <v>32</v>
      </c>
      <c r="G613" t="s">
        <v>50</v>
      </c>
      <c r="H613">
        <v>1</v>
      </c>
      <c r="I613">
        <v>156.88</v>
      </c>
      <c r="J613" s="13">
        <v>0.1</v>
      </c>
      <c r="K613">
        <v>141.19</v>
      </c>
      <c r="L613">
        <v>120.75</v>
      </c>
      <c r="M613">
        <v>20.440000000000001</v>
      </c>
      <c r="N613" t="s">
        <v>63</v>
      </c>
    </row>
    <row r="614" spans="1:14" x14ac:dyDescent="0.3">
      <c r="A614" t="s">
        <v>668</v>
      </c>
      <c r="B614" s="1">
        <v>45903</v>
      </c>
      <c r="C614" t="s">
        <v>28</v>
      </c>
      <c r="D614" t="s">
        <v>16</v>
      </c>
      <c r="E614" t="s">
        <v>24</v>
      </c>
      <c r="F614" t="s">
        <v>32</v>
      </c>
      <c r="G614" t="s">
        <v>19</v>
      </c>
      <c r="H614">
        <v>2</v>
      </c>
      <c r="I614">
        <v>903.95</v>
      </c>
      <c r="J614" s="13">
        <v>0.05</v>
      </c>
      <c r="K614">
        <v>1717.51</v>
      </c>
      <c r="L614">
        <v>1313.68</v>
      </c>
      <c r="M614">
        <v>403.83</v>
      </c>
      <c r="N614" t="s">
        <v>38</v>
      </c>
    </row>
    <row r="615" spans="1:14" x14ac:dyDescent="0.3">
      <c r="A615" t="s">
        <v>669</v>
      </c>
      <c r="B615" s="1">
        <v>45853</v>
      </c>
      <c r="C615" t="s">
        <v>69</v>
      </c>
      <c r="D615" t="s">
        <v>16</v>
      </c>
      <c r="E615" t="s">
        <v>24</v>
      </c>
      <c r="F615" t="s">
        <v>18</v>
      </c>
      <c r="G615" t="s">
        <v>37</v>
      </c>
      <c r="H615">
        <v>5</v>
      </c>
      <c r="I615">
        <v>306.74</v>
      </c>
      <c r="J615" s="13">
        <v>0.05</v>
      </c>
      <c r="K615">
        <v>1457</v>
      </c>
      <c r="L615">
        <v>1074.58</v>
      </c>
      <c r="M615">
        <v>382.42</v>
      </c>
      <c r="N615" t="s">
        <v>26</v>
      </c>
    </row>
    <row r="616" spans="1:14" x14ac:dyDescent="0.3">
      <c r="A616" t="s">
        <v>670</v>
      </c>
      <c r="B616" s="1">
        <v>45866</v>
      </c>
      <c r="C616" t="s">
        <v>43</v>
      </c>
      <c r="D616" t="s">
        <v>31</v>
      </c>
      <c r="E616" t="s">
        <v>24</v>
      </c>
      <c r="F616" t="s">
        <v>18</v>
      </c>
      <c r="G616" t="s">
        <v>46</v>
      </c>
      <c r="H616">
        <v>2</v>
      </c>
      <c r="I616">
        <v>633.80999999999995</v>
      </c>
      <c r="J616" s="13">
        <v>0.1</v>
      </c>
      <c r="K616">
        <v>1140.8499999999999</v>
      </c>
      <c r="L616">
        <v>778.43</v>
      </c>
      <c r="M616">
        <v>362.42</v>
      </c>
      <c r="N616" t="s">
        <v>26</v>
      </c>
    </row>
    <row r="617" spans="1:14" x14ac:dyDescent="0.3">
      <c r="A617" t="s">
        <v>671</v>
      </c>
      <c r="B617" s="1">
        <v>45805</v>
      </c>
      <c r="C617" t="s">
        <v>28</v>
      </c>
      <c r="D617" t="s">
        <v>31</v>
      </c>
      <c r="E617" t="s">
        <v>24</v>
      </c>
      <c r="F617" t="s">
        <v>45</v>
      </c>
      <c r="G617" t="s">
        <v>37</v>
      </c>
      <c r="H617">
        <v>3</v>
      </c>
      <c r="I617">
        <v>918.81</v>
      </c>
      <c r="J617" s="13">
        <v>0.1</v>
      </c>
      <c r="K617">
        <v>2480.79</v>
      </c>
      <c r="L617">
        <v>1785.05</v>
      </c>
      <c r="M617">
        <v>695.74</v>
      </c>
      <c r="N617" t="s">
        <v>72</v>
      </c>
    </row>
    <row r="618" spans="1:14" x14ac:dyDescent="0.3">
      <c r="A618" t="s">
        <v>672</v>
      </c>
      <c r="B618" s="1">
        <v>45684</v>
      </c>
      <c r="C618" t="s">
        <v>30</v>
      </c>
      <c r="D618" t="s">
        <v>23</v>
      </c>
      <c r="E618" t="s">
        <v>44</v>
      </c>
      <c r="F618" t="s">
        <v>18</v>
      </c>
      <c r="G618" t="s">
        <v>56</v>
      </c>
      <c r="H618">
        <v>3</v>
      </c>
      <c r="I618">
        <v>49.6</v>
      </c>
      <c r="J618" s="13">
        <v>0.05</v>
      </c>
      <c r="K618">
        <v>141.36000000000001</v>
      </c>
      <c r="L618">
        <v>99.56</v>
      </c>
      <c r="M618">
        <v>41.8</v>
      </c>
      <c r="N618" t="s">
        <v>34</v>
      </c>
    </row>
    <row r="619" spans="1:14" x14ac:dyDescent="0.3">
      <c r="A619" t="s">
        <v>673</v>
      </c>
      <c r="B619" s="1">
        <v>45695</v>
      </c>
      <c r="C619" t="s">
        <v>30</v>
      </c>
      <c r="D619" t="s">
        <v>16</v>
      </c>
      <c r="E619" t="s">
        <v>24</v>
      </c>
      <c r="F619" t="s">
        <v>32</v>
      </c>
      <c r="G619" t="s">
        <v>25</v>
      </c>
      <c r="H619">
        <v>6</v>
      </c>
      <c r="I619">
        <v>54.45</v>
      </c>
      <c r="J619" s="13">
        <v>0.05</v>
      </c>
      <c r="K619">
        <v>310.37</v>
      </c>
      <c r="L619">
        <v>214.89</v>
      </c>
      <c r="M619">
        <v>95.48</v>
      </c>
      <c r="N619" t="s">
        <v>102</v>
      </c>
    </row>
    <row r="620" spans="1:14" x14ac:dyDescent="0.3">
      <c r="A620" t="s">
        <v>674</v>
      </c>
      <c r="B620" s="1">
        <v>45824</v>
      </c>
      <c r="C620" t="s">
        <v>69</v>
      </c>
      <c r="D620" t="s">
        <v>23</v>
      </c>
      <c r="E620" t="s">
        <v>24</v>
      </c>
      <c r="F620" t="s">
        <v>32</v>
      </c>
      <c r="G620" t="s">
        <v>37</v>
      </c>
      <c r="H620">
        <v>3</v>
      </c>
      <c r="I620">
        <v>285.58</v>
      </c>
      <c r="J620" s="13">
        <v>0.05</v>
      </c>
      <c r="K620">
        <v>813.9</v>
      </c>
      <c r="L620">
        <v>615.15</v>
      </c>
      <c r="M620">
        <v>198.75</v>
      </c>
      <c r="N620" t="s">
        <v>76</v>
      </c>
    </row>
    <row r="621" spans="1:14" x14ac:dyDescent="0.3">
      <c r="A621" t="s">
        <v>675</v>
      </c>
      <c r="B621" s="1">
        <v>45725</v>
      </c>
      <c r="C621" t="s">
        <v>36</v>
      </c>
      <c r="D621" t="s">
        <v>16</v>
      </c>
      <c r="E621" t="s">
        <v>24</v>
      </c>
      <c r="F621" t="s">
        <v>18</v>
      </c>
      <c r="G621" t="s">
        <v>50</v>
      </c>
      <c r="H621">
        <v>2</v>
      </c>
      <c r="I621">
        <v>150.44999999999999</v>
      </c>
      <c r="J621" s="13">
        <v>0.05</v>
      </c>
      <c r="K621">
        <v>285.85000000000002</v>
      </c>
      <c r="L621">
        <v>177.63</v>
      </c>
      <c r="M621">
        <v>108.22</v>
      </c>
      <c r="N621" t="s">
        <v>53</v>
      </c>
    </row>
    <row r="622" spans="1:14" x14ac:dyDescent="0.3">
      <c r="A622" t="s">
        <v>676</v>
      </c>
      <c r="B622" s="1">
        <v>46016</v>
      </c>
      <c r="C622" t="s">
        <v>28</v>
      </c>
      <c r="D622" t="s">
        <v>41</v>
      </c>
      <c r="E622" t="s">
        <v>17</v>
      </c>
      <c r="F622" t="s">
        <v>18</v>
      </c>
      <c r="G622" t="s">
        <v>33</v>
      </c>
      <c r="H622">
        <v>4</v>
      </c>
      <c r="I622">
        <v>1035.22</v>
      </c>
      <c r="J622" s="13">
        <v>0</v>
      </c>
      <c r="K622">
        <v>4140.88</v>
      </c>
      <c r="L622">
        <v>3034.31</v>
      </c>
      <c r="M622">
        <v>1106.57</v>
      </c>
      <c r="N622" t="s">
        <v>70</v>
      </c>
    </row>
    <row r="623" spans="1:14" x14ac:dyDescent="0.3">
      <c r="A623" t="s">
        <v>677</v>
      </c>
      <c r="B623" s="1">
        <v>45776</v>
      </c>
      <c r="C623" t="s">
        <v>43</v>
      </c>
      <c r="D623" t="s">
        <v>41</v>
      </c>
      <c r="E623" t="s">
        <v>24</v>
      </c>
      <c r="F623" t="s">
        <v>45</v>
      </c>
      <c r="G623" t="s">
        <v>37</v>
      </c>
      <c r="H623">
        <v>4</v>
      </c>
      <c r="I623">
        <v>587.96</v>
      </c>
      <c r="J623" s="13">
        <v>0.05</v>
      </c>
      <c r="K623">
        <v>2234.2399999999998</v>
      </c>
      <c r="L623">
        <v>1649.73</v>
      </c>
      <c r="M623">
        <v>584.51</v>
      </c>
      <c r="N623" t="s">
        <v>63</v>
      </c>
    </row>
    <row r="624" spans="1:14" x14ac:dyDescent="0.3">
      <c r="A624" t="s">
        <v>678</v>
      </c>
      <c r="B624" s="1">
        <v>45660</v>
      </c>
      <c r="C624" t="s">
        <v>59</v>
      </c>
      <c r="D624" t="s">
        <v>41</v>
      </c>
      <c r="E624" t="s">
        <v>17</v>
      </c>
      <c r="F624" t="s">
        <v>18</v>
      </c>
      <c r="G624" t="s">
        <v>56</v>
      </c>
      <c r="H624">
        <v>4</v>
      </c>
      <c r="I624">
        <v>31.33</v>
      </c>
      <c r="J624" s="13">
        <v>0.1</v>
      </c>
      <c r="K624">
        <v>112.79</v>
      </c>
      <c r="L624">
        <v>83.15</v>
      </c>
      <c r="M624">
        <v>29.64</v>
      </c>
      <c r="N624" t="s">
        <v>34</v>
      </c>
    </row>
    <row r="625" spans="1:14" x14ac:dyDescent="0.3">
      <c r="A625" t="s">
        <v>679</v>
      </c>
      <c r="B625" s="1">
        <v>45888</v>
      </c>
      <c r="C625" t="s">
        <v>30</v>
      </c>
      <c r="D625" t="s">
        <v>23</v>
      </c>
      <c r="E625" t="s">
        <v>24</v>
      </c>
      <c r="F625" t="s">
        <v>18</v>
      </c>
      <c r="G625" t="s">
        <v>56</v>
      </c>
      <c r="H625">
        <v>3</v>
      </c>
      <c r="I625">
        <v>53.33</v>
      </c>
      <c r="J625" s="13">
        <v>0.05</v>
      </c>
      <c r="K625">
        <v>151.97999999999999</v>
      </c>
      <c r="L625">
        <v>96.81</v>
      </c>
      <c r="M625">
        <v>55.17</v>
      </c>
      <c r="N625" t="s">
        <v>20</v>
      </c>
    </row>
    <row r="626" spans="1:14" x14ac:dyDescent="0.3">
      <c r="A626" t="s">
        <v>680</v>
      </c>
      <c r="B626" s="1">
        <v>45809</v>
      </c>
      <c r="C626" t="s">
        <v>22</v>
      </c>
      <c r="D626" t="s">
        <v>16</v>
      </c>
      <c r="E626" t="s">
        <v>24</v>
      </c>
      <c r="F626" t="s">
        <v>18</v>
      </c>
      <c r="G626" t="s">
        <v>56</v>
      </c>
      <c r="H626">
        <v>3</v>
      </c>
      <c r="I626">
        <v>76.63</v>
      </c>
      <c r="J626" s="13">
        <v>0</v>
      </c>
      <c r="K626">
        <v>229.88</v>
      </c>
      <c r="L626">
        <v>173.15</v>
      </c>
      <c r="M626">
        <v>56.73</v>
      </c>
      <c r="N626" t="s">
        <v>76</v>
      </c>
    </row>
    <row r="627" spans="1:14" x14ac:dyDescent="0.3">
      <c r="A627" t="s">
        <v>681</v>
      </c>
      <c r="B627" s="1">
        <v>45981</v>
      </c>
      <c r="C627" t="s">
        <v>28</v>
      </c>
      <c r="D627" t="s">
        <v>41</v>
      </c>
      <c r="E627" t="s">
        <v>44</v>
      </c>
      <c r="F627" t="s">
        <v>18</v>
      </c>
      <c r="G627" t="s">
        <v>50</v>
      </c>
      <c r="H627">
        <v>2</v>
      </c>
      <c r="I627">
        <v>915.21</v>
      </c>
      <c r="J627" s="13">
        <v>0.05</v>
      </c>
      <c r="K627">
        <v>1738.9</v>
      </c>
      <c r="L627">
        <v>1346.36</v>
      </c>
      <c r="M627">
        <v>392.54</v>
      </c>
      <c r="N627" t="s">
        <v>60</v>
      </c>
    </row>
    <row r="628" spans="1:14" x14ac:dyDescent="0.3">
      <c r="A628" t="s">
        <v>682</v>
      </c>
      <c r="B628" s="1">
        <v>45723</v>
      </c>
      <c r="C628" t="s">
        <v>69</v>
      </c>
      <c r="D628" t="s">
        <v>23</v>
      </c>
      <c r="E628" t="s">
        <v>24</v>
      </c>
      <c r="F628" t="s">
        <v>32</v>
      </c>
      <c r="G628" t="s">
        <v>25</v>
      </c>
      <c r="H628">
        <v>3</v>
      </c>
      <c r="I628">
        <v>265.01</v>
      </c>
      <c r="J628" s="13">
        <v>0.15</v>
      </c>
      <c r="K628">
        <v>675.79</v>
      </c>
      <c r="L628">
        <v>584.79</v>
      </c>
      <c r="M628">
        <v>91</v>
      </c>
      <c r="N628" t="s">
        <v>53</v>
      </c>
    </row>
    <row r="629" spans="1:14" x14ac:dyDescent="0.3">
      <c r="A629" t="s">
        <v>683</v>
      </c>
      <c r="B629" s="1">
        <v>45741</v>
      </c>
      <c r="C629" t="s">
        <v>59</v>
      </c>
      <c r="D629" t="s">
        <v>16</v>
      </c>
      <c r="E629" t="s">
        <v>44</v>
      </c>
      <c r="F629" t="s">
        <v>18</v>
      </c>
      <c r="G629" t="s">
        <v>56</v>
      </c>
      <c r="H629">
        <v>2</v>
      </c>
      <c r="I629">
        <v>33.99</v>
      </c>
      <c r="J629" s="13">
        <v>0.03</v>
      </c>
      <c r="K629">
        <v>65.95</v>
      </c>
      <c r="L629">
        <v>49.32</v>
      </c>
      <c r="M629">
        <v>16.63</v>
      </c>
      <c r="N629" t="s">
        <v>53</v>
      </c>
    </row>
    <row r="630" spans="1:14" x14ac:dyDescent="0.3">
      <c r="A630" t="s">
        <v>684</v>
      </c>
      <c r="B630" s="1">
        <v>45785</v>
      </c>
      <c r="C630" t="s">
        <v>36</v>
      </c>
      <c r="D630" t="s">
        <v>31</v>
      </c>
      <c r="E630" t="s">
        <v>24</v>
      </c>
      <c r="F630" t="s">
        <v>18</v>
      </c>
      <c r="G630" t="s">
        <v>37</v>
      </c>
      <c r="H630">
        <v>2</v>
      </c>
      <c r="I630">
        <v>145.91</v>
      </c>
      <c r="J630" s="13">
        <v>0.03</v>
      </c>
      <c r="K630">
        <v>283.07</v>
      </c>
      <c r="L630">
        <v>194.43</v>
      </c>
      <c r="M630">
        <v>88.64</v>
      </c>
      <c r="N630" t="s">
        <v>72</v>
      </c>
    </row>
    <row r="631" spans="1:14" x14ac:dyDescent="0.3">
      <c r="A631" t="s">
        <v>685</v>
      </c>
      <c r="B631" s="1">
        <v>45857</v>
      </c>
      <c r="C631" t="s">
        <v>36</v>
      </c>
      <c r="D631" t="s">
        <v>16</v>
      </c>
      <c r="E631" t="s">
        <v>24</v>
      </c>
      <c r="F631" t="s">
        <v>18</v>
      </c>
      <c r="G631" t="s">
        <v>37</v>
      </c>
      <c r="H631">
        <v>3</v>
      </c>
      <c r="I631">
        <v>156.28</v>
      </c>
      <c r="J631" s="13">
        <v>0.05</v>
      </c>
      <c r="K631">
        <v>445.4</v>
      </c>
      <c r="L631">
        <v>320.57</v>
      </c>
      <c r="M631">
        <v>124.83</v>
      </c>
      <c r="N631" t="s">
        <v>26</v>
      </c>
    </row>
    <row r="632" spans="1:14" x14ac:dyDescent="0.3">
      <c r="A632" t="s">
        <v>686</v>
      </c>
      <c r="B632" s="1">
        <v>45856</v>
      </c>
      <c r="C632" t="s">
        <v>43</v>
      </c>
      <c r="D632" t="s">
        <v>16</v>
      </c>
      <c r="E632" t="s">
        <v>44</v>
      </c>
      <c r="F632" t="s">
        <v>32</v>
      </c>
      <c r="G632" t="s">
        <v>56</v>
      </c>
      <c r="H632">
        <v>4</v>
      </c>
      <c r="I632">
        <v>573.45000000000005</v>
      </c>
      <c r="J632" s="13">
        <v>0</v>
      </c>
      <c r="K632">
        <v>2293.81</v>
      </c>
      <c r="L632">
        <v>1535.09</v>
      </c>
      <c r="M632">
        <v>758.72</v>
      </c>
      <c r="N632" t="s">
        <v>26</v>
      </c>
    </row>
    <row r="633" spans="1:14" x14ac:dyDescent="0.3">
      <c r="A633" t="s">
        <v>687</v>
      </c>
      <c r="B633" s="1">
        <v>45992</v>
      </c>
      <c r="C633" t="s">
        <v>59</v>
      </c>
      <c r="D633" t="s">
        <v>23</v>
      </c>
      <c r="E633" t="s">
        <v>24</v>
      </c>
      <c r="F633" t="s">
        <v>18</v>
      </c>
      <c r="G633" t="s">
        <v>50</v>
      </c>
      <c r="H633">
        <v>2</v>
      </c>
      <c r="I633">
        <v>32.78</v>
      </c>
      <c r="J633" s="13">
        <v>0.1</v>
      </c>
      <c r="K633">
        <v>59</v>
      </c>
      <c r="L633">
        <v>46.26</v>
      </c>
      <c r="M633">
        <v>12.74</v>
      </c>
      <c r="N633" t="s">
        <v>70</v>
      </c>
    </row>
    <row r="634" spans="1:14" x14ac:dyDescent="0.3">
      <c r="A634" t="s">
        <v>688</v>
      </c>
      <c r="B634" s="1">
        <v>45950</v>
      </c>
      <c r="C634" t="s">
        <v>40</v>
      </c>
      <c r="D634" t="s">
        <v>41</v>
      </c>
      <c r="E634" t="s">
        <v>17</v>
      </c>
      <c r="F634" t="s">
        <v>18</v>
      </c>
      <c r="G634" t="s">
        <v>46</v>
      </c>
      <c r="H634">
        <v>3</v>
      </c>
      <c r="I634">
        <v>109.08</v>
      </c>
      <c r="J634" s="13">
        <v>0</v>
      </c>
      <c r="K634">
        <v>327.25</v>
      </c>
      <c r="L634">
        <v>231.63</v>
      </c>
      <c r="M634">
        <v>95.62</v>
      </c>
      <c r="N634" t="s">
        <v>51</v>
      </c>
    </row>
    <row r="635" spans="1:14" x14ac:dyDescent="0.3">
      <c r="A635" t="s">
        <v>689</v>
      </c>
      <c r="B635" s="1">
        <v>45820</v>
      </c>
      <c r="C635" t="s">
        <v>69</v>
      </c>
      <c r="D635" t="s">
        <v>41</v>
      </c>
      <c r="E635" t="s">
        <v>44</v>
      </c>
      <c r="F635" t="s">
        <v>18</v>
      </c>
      <c r="G635" t="s">
        <v>50</v>
      </c>
      <c r="H635">
        <v>5</v>
      </c>
      <c r="I635">
        <v>290.73</v>
      </c>
      <c r="J635" s="13">
        <v>0</v>
      </c>
      <c r="K635">
        <v>1453.66</v>
      </c>
      <c r="L635">
        <v>873.45</v>
      </c>
      <c r="M635">
        <v>580.21</v>
      </c>
      <c r="N635" t="s">
        <v>76</v>
      </c>
    </row>
    <row r="636" spans="1:14" x14ac:dyDescent="0.3">
      <c r="A636" t="s">
        <v>690</v>
      </c>
      <c r="B636" s="1">
        <v>45846</v>
      </c>
      <c r="C636" t="s">
        <v>59</v>
      </c>
      <c r="D636" t="s">
        <v>16</v>
      </c>
      <c r="E636" t="s">
        <v>24</v>
      </c>
      <c r="F636" t="s">
        <v>45</v>
      </c>
      <c r="G636" t="s">
        <v>37</v>
      </c>
      <c r="H636">
        <v>2</v>
      </c>
      <c r="I636">
        <v>34.630000000000003</v>
      </c>
      <c r="J636" s="13">
        <v>0</v>
      </c>
      <c r="K636">
        <v>69.260000000000005</v>
      </c>
      <c r="L636">
        <v>50.45</v>
      </c>
      <c r="M636">
        <v>18.809999999999999</v>
      </c>
      <c r="N636" t="s">
        <v>26</v>
      </c>
    </row>
    <row r="637" spans="1:14" x14ac:dyDescent="0.3">
      <c r="A637" t="s">
        <v>691</v>
      </c>
      <c r="B637" s="1">
        <v>45883</v>
      </c>
      <c r="C637" t="s">
        <v>30</v>
      </c>
      <c r="D637" t="s">
        <v>31</v>
      </c>
      <c r="E637" t="s">
        <v>44</v>
      </c>
      <c r="F637" t="s">
        <v>45</v>
      </c>
      <c r="G637" t="s">
        <v>46</v>
      </c>
      <c r="H637">
        <v>2</v>
      </c>
      <c r="I637">
        <v>50.99</v>
      </c>
      <c r="J637" s="13">
        <v>0.03</v>
      </c>
      <c r="K637">
        <v>98.93</v>
      </c>
      <c r="L637">
        <v>78.38</v>
      </c>
      <c r="M637">
        <v>20.55</v>
      </c>
      <c r="N637" t="s">
        <v>20</v>
      </c>
    </row>
    <row r="638" spans="1:14" x14ac:dyDescent="0.3">
      <c r="A638" t="s">
        <v>692</v>
      </c>
      <c r="B638" s="1">
        <v>45660</v>
      </c>
      <c r="C638" t="s">
        <v>36</v>
      </c>
      <c r="D638" t="s">
        <v>23</v>
      </c>
      <c r="E638" t="s">
        <v>24</v>
      </c>
      <c r="F638" t="s">
        <v>32</v>
      </c>
      <c r="G638" t="s">
        <v>50</v>
      </c>
      <c r="H638">
        <v>5</v>
      </c>
      <c r="I638">
        <v>157.54</v>
      </c>
      <c r="J638" s="13">
        <v>0</v>
      </c>
      <c r="K638">
        <v>787.69</v>
      </c>
      <c r="L638">
        <v>525.66999999999996</v>
      </c>
      <c r="M638">
        <v>262.02</v>
      </c>
      <c r="N638" t="s">
        <v>34</v>
      </c>
    </row>
    <row r="639" spans="1:14" x14ac:dyDescent="0.3">
      <c r="A639" t="s">
        <v>693</v>
      </c>
      <c r="B639" s="1">
        <v>45723</v>
      </c>
      <c r="C639" t="s">
        <v>43</v>
      </c>
      <c r="D639" t="s">
        <v>16</v>
      </c>
      <c r="E639" t="s">
        <v>24</v>
      </c>
      <c r="F639" t="s">
        <v>45</v>
      </c>
      <c r="G639" t="s">
        <v>79</v>
      </c>
      <c r="H639">
        <v>1</v>
      </c>
      <c r="I639">
        <v>567.29999999999995</v>
      </c>
      <c r="J639" s="13">
        <v>0.03</v>
      </c>
      <c r="K639">
        <v>550.28</v>
      </c>
      <c r="L639">
        <v>368.49</v>
      </c>
      <c r="M639">
        <v>181.79</v>
      </c>
      <c r="N639" t="s">
        <v>53</v>
      </c>
    </row>
    <row r="640" spans="1:14" x14ac:dyDescent="0.3">
      <c r="A640" t="s">
        <v>694</v>
      </c>
      <c r="B640" s="1">
        <v>45741</v>
      </c>
      <c r="C640" t="s">
        <v>40</v>
      </c>
      <c r="D640" t="s">
        <v>16</v>
      </c>
      <c r="E640" t="s">
        <v>24</v>
      </c>
      <c r="F640" t="s">
        <v>18</v>
      </c>
      <c r="G640" t="s">
        <v>25</v>
      </c>
      <c r="H640">
        <v>4</v>
      </c>
      <c r="I640">
        <v>101.82</v>
      </c>
      <c r="J640" s="13">
        <v>0.15</v>
      </c>
      <c r="K640">
        <v>346.2</v>
      </c>
      <c r="L640">
        <v>310.51</v>
      </c>
      <c r="M640">
        <v>35.69</v>
      </c>
      <c r="N640" t="s">
        <v>53</v>
      </c>
    </row>
    <row r="641" spans="1:14" x14ac:dyDescent="0.3">
      <c r="A641" t="s">
        <v>695</v>
      </c>
      <c r="B641" s="1">
        <v>45846</v>
      </c>
      <c r="C641" t="s">
        <v>22</v>
      </c>
      <c r="D641" t="s">
        <v>16</v>
      </c>
      <c r="E641" t="s">
        <v>17</v>
      </c>
      <c r="F641" t="s">
        <v>18</v>
      </c>
      <c r="G641" t="s">
        <v>25</v>
      </c>
      <c r="H641">
        <v>1</v>
      </c>
      <c r="I641">
        <v>84.31</v>
      </c>
      <c r="J641" s="13">
        <v>0.03</v>
      </c>
      <c r="K641">
        <v>81.78</v>
      </c>
      <c r="L641">
        <v>56.81</v>
      </c>
      <c r="M641">
        <v>24.97</v>
      </c>
      <c r="N641" t="s">
        <v>26</v>
      </c>
    </row>
    <row r="642" spans="1:14" x14ac:dyDescent="0.3">
      <c r="A642" t="s">
        <v>696</v>
      </c>
      <c r="B642" s="1">
        <v>45875</v>
      </c>
      <c r="C642" t="s">
        <v>43</v>
      </c>
      <c r="D642" t="s">
        <v>31</v>
      </c>
      <c r="E642" t="s">
        <v>17</v>
      </c>
      <c r="F642" t="s">
        <v>45</v>
      </c>
      <c r="G642" t="s">
        <v>46</v>
      </c>
      <c r="H642">
        <v>6</v>
      </c>
      <c r="I642">
        <v>599.94000000000005</v>
      </c>
      <c r="J642" s="13">
        <v>0.15</v>
      </c>
      <c r="K642">
        <v>3059.7</v>
      </c>
      <c r="L642">
        <v>2564.25</v>
      </c>
      <c r="M642">
        <v>495.45</v>
      </c>
      <c r="N642" t="s">
        <v>20</v>
      </c>
    </row>
    <row r="643" spans="1:14" x14ac:dyDescent="0.3">
      <c r="A643" t="s">
        <v>697</v>
      </c>
      <c r="B643" s="1">
        <v>45916</v>
      </c>
      <c r="C643" t="s">
        <v>59</v>
      </c>
      <c r="D643" t="s">
        <v>23</v>
      </c>
      <c r="E643" t="s">
        <v>17</v>
      </c>
      <c r="F643" t="s">
        <v>32</v>
      </c>
      <c r="G643" t="s">
        <v>19</v>
      </c>
      <c r="H643">
        <v>1</v>
      </c>
      <c r="I643">
        <v>30.82</v>
      </c>
      <c r="J643" s="13">
        <v>0.05</v>
      </c>
      <c r="K643">
        <v>29.28</v>
      </c>
      <c r="L643">
        <v>18.12</v>
      </c>
      <c r="M643">
        <v>11.16</v>
      </c>
      <c r="N643" t="s">
        <v>38</v>
      </c>
    </row>
    <row r="644" spans="1:14" x14ac:dyDescent="0.3">
      <c r="A644" t="s">
        <v>698</v>
      </c>
      <c r="B644" s="1">
        <v>46015</v>
      </c>
      <c r="C644" t="s">
        <v>104</v>
      </c>
      <c r="D644" t="s">
        <v>41</v>
      </c>
      <c r="E644" t="s">
        <v>44</v>
      </c>
      <c r="F644" t="s">
        <v>18</v>
      </c>
      <c r="G644" t="s">
        <v>50</v>
      </c>
      <c r="H644">
        <v>4</v>
      </c>
      <c r="I644">
        <v>86.96</v>
      </c>
      <c r="J644" s="13">
        <v>0.1</v>
      </c>
      <c r="K644">
        <v>313.06</v>
      </c>
      <c r="L644">
        <v>218.77</v>
      </c>
      <c r="M644">
        <v>94.29</v>
      </c>
      <c r="N644" t="s">
        <v>70</v>
      </c>
    </row>
    <row r="645" spans="1:14" x14ac:dyDescent="0.3">
      <c r="A645" t="s">
        <v>699</v>
      </c>
      <c r="B645" s="1">
        <v>45905</v>
      </c>
      <c r="C645" t="s">
        <v>36</v>
      </c>
      <c r="D645" t="s">
        <v>23</v>
      </c>
      <c r="E645" t="s">
        <v>17</v>
      </c>
      <c r="F645" t="s">
        <v>45</v>
      </c>
      <c r="G645" t="s">
        <v>37</v>
      </c>
      <c r="H645">
        <v>1</v>
      </c>
      <c r="I645">
        <v>136.08000000000001</v>
      </c>
      <c r="J645" s="13">
        <v>0.1</v>
      </c>
      <c r="K645">
        <v>122.47</v>
      </c>
      <c r="L645">
        <v>101.26</v>
      </c>
      <c r="M645">
        <v>21.21</v>
      </c>
      <c r="N645" t="s">
        <v>38</v>
      </c>
    </row>
    <row r="646" spans="1:14" x14ac:dyDescent="0.3">
      <c r="A646" t="s">
        <v>700</v>
      </c>
      <c r="B646" s="1">
        <v>45737</v>
      </c>
      <c r="C646" t="s">
        <v>59</v>
      </c>
      <c r="D646" t="s">
        <v>23</v>
      </c>
      <c r="E646" t="s">
        <v>24</v>
      </c>
      <c r="F646" t="s">
        <v>18</v>
      </c>
      <c r="G646" t="s">
        <v>25</v>
      </c>
      <c r="H646">
        <v>1</v>
      </c>
      <c r="I646">
        <v>32.299999999999997</v>
      </c>
      <c r="J646" s="13">
        <v>0.1</v>
      </c>
      <c r="K646">
        <v>29.07</v>
      </c>
      <c r="L646">
        <v>22.49</v>
      </c>
      <c r="M646">
        <v>6.58</v>
      </c>
      <c r="N646" t="s">
        <v>53</v>
      </c>
    </row>
    <row r="647" spans="1:14" x14ac:dyDescent="0.3">
      <c r="A647" t="s">
        <v>701</v>
      </c>
      <c r="B647" s="1">
        <v>45816</v>
      </c>
      <c r="C647" t="s">
        <v>43</v>
      </c>
      <c r="D647" t="s">
        <v>41</v>
      </c>
      <c r="E647" t="s">
        <v>44</v>
      </c>
      <c r="F647" t="s">
        <v>18</v>
      </c>
      <c r="G647" t="s">
        <v>50</v>
      </c>
      <c r="H647">
        <v>1</v>
      </c>
      <c r="I647">
        <v>607.17999999999995</v>
      </c>
      <c r="J647" s="13">
        <v>0.05</v>
      </c>
      <c r="K647">
        <v>576.82000000000005</v>
      </c>
      <c r="L647">
        <v>365.46</v>
      </c>
      <c r="M647">
        <v>211.36</v>
      </c>
      <c r="N647" t="s">
        <v>76</v>
      </c>
    </row>
    <row r="648" spans="1:14" x14ac:dyDescent="0.3">
      <c r="A648" t="s">
        <v>702</v>
      </c>
      <c r="B648" s="1">
        <v>45877</v>
      </c>
      <c r="C648" t="s">
        <v>40</v>
      </c>
      <c r="D648" t="s">
        <v>23</v>
      </c>
      <c r="E648" t="s">
        <v>17</v>
      </c>
      <c r="F648" t="s">
        <v>45</v>
      </c>
      <c r="G648" t="s">
        <v>46</v>
      </c>
      <c r="H648">
        <v>1</v>
      </c>
      <c r="I648">
        <v>105.03</v>
      </c>
      <c r="J648" s="13">
        <v>0.05</v>
      </c>
      <c r="K648">
        <v>99.78</v>
      </c>
      <c r="L648">
        <v>74.06</v>
      </c>
      <c r="M648">
        <v>25.72</v>
      </c>
      <c r="N648" t="s">
        <v>20</v>
      </c>
    </row>
    <row r="649" spans="1:14" x14ac:dyDescent="0.3">
      <c r="A649" t="s">
        <v>703</v>
      </c>
      <c r="B649" s="1">
        <v>45786</v>
      </c>
      <c r="C649" t="s">
        <v>22</v>
      </c>
      <c r="D649" t="s">
        <v>16</v>
      </c>
      <c r="E649" t="s">
        <v>17</v>
      </c>
      <c r="F649" t="s">
        <v>18</v>
      </c>
      <c r="G649" t="s">
        <v>25</v>
      </c>
      <c r="H649">
        <v>4</v>
      </c>
      <c r="I649">
        <v>81.319999999999993</v>
      </c>
      <c r="J649" s="13">
        <v>0.03</v>
      </c>
      <c r="K649">
        <v>315.54000000000002</v>
      </c>
      <c r="L649">
        <v>238.07</v>
      </c>
      <c r="M649">
        <v>77.47</v>
      </c>
      <c r="N649" t="s">
        <v>72</v>
      </c>
    </row>
    <row r="650" spans="1:14" x14ac:dyDescent="0.3">
      <c r="A650" t="s">
        <v>704</v>
      </c>
      <c r="B650" s="1">
        <v>45739</v>
      </c>
      <c r="C650" t="s">
        <v>59</v>
      </c>
      <c r="D650" t="s">
        <v>16</v>
      </c>
      <c r="E650" t="s">
        <v>44</v>
      </c>
      <c r="F650" t="s">
        <v>45</v>
      </c>
      <c r="G650" t="s">
        <v>33</v>
      </c>
      <c r="H650">
        <v>2</v>
      </c>
      <c r="I650">
        <v>32.65</v>
      </c>
      <c r="J650" s="13">
        <v>0.1</v>
      </c>
      <c r="K650">
        <v>58.78</v>
      </c>
      <c r="L650">
        <v>38.799999999999997</v>
      </c>
      <c r="M650">
        <v>19.98</v>
      </c>
      <c r="N650" t="s">
        <v>53</v>
      </c>
    </row>
    <row r="651" spans="1:14" x14ac:dyDescent="0.3">
      <c r="A651" t="s">
        <v>705</v>
      </c>
      <c r="B651" s="1">
        <v>45773</v>
      </c>
      <c r="C651" t="s">
        <v>48</v>
      </c>
      <c r="D651" t="s">
        <v>31</v>
      </c>
      <c r="E651" t="s">
        <v>17</v>
      </c>
      <c r="F651" t="s">
        <v>18</v>
      </c>
      <c r="G651" t="s">
        <v>25</v>
      </c>
      <c r="H651">
        <v>3</v>
      </c>
      <c r="I651">
        <v>325.45999999999998</v>
      </c>
      <c r="J651" s="13">
        <v>0.03</v>
      </c>
      <c r="K651">
        <v>947.08</v>
      </c>
      <c r="L651">
        <v>753.36</v>
      </c>
      <c r="M651">
        <v>193.72</v>
      </c>
      <c r="N651" t="s">
        <v>63</v>
      </c>
    </row>
    <row r="652" spans="1:14" x14ac:dyDescent="0.3">
      <c r="A652" t="s">
        <v>706</v>
      </c>
      <c r="B652" s="1">
        <v>45681</v>
      </c>
      <c r="C652" t="s">
        <v>67</v>
      </c>
      <c r="D652" t="s">
        <v>16</v>
      </c>
      <c r="E652" t="s">
        <v>44</v>
      </c>
      <c r="F652" t="s">
        <v>32</v>
      </c>
      <c r="G652" t="s">
        <v>33</v>
      </c>
      <c r="H652">
        <v>3</v>
      </c>
      <c r="I652">
        <v>179.27</v>
      </c>
      <c r="J652" s="13">
        <v>0</v>
      </c>
      <c r="K652">
        <v>537.82000000000005</v>
      </c>
      <c r="L652">
        <v>363.95</v>
      </c>
      <c r="M652">
        <v>173.87</v>
      </c>
      <c r="N652" t="s">
        <v>34</v>
      </c>
    </row>
    <row r="653" spans="1:14" x14ac:dyDescent="0.3">
      <c r="A653" t="s">
        <v>707</v>
      </c>
      <c r="B653" s="1">
        <v>45906</v>
      </c>
      <c r="C653" t="s">
        <v>43</v>
      </c>
      <c r="D653" t="s">
        <v>41</v>
      </c>
      <c r="E653" t="s">
        <v>17</v>
      </c>
      <c r="F653" t="s">
        <v>45</v>
      </c>
      <c r="G653" t="s">
        <v>79</v>
      </c>
      <c r="H653">
        <v>3</v>
      </c>
      <c r="I653">
        <v>576.17999999999995</v>
      </c>
      <c r="J653" s="13">
        <v>0</v>
      </c>
      <c r="K653">
        <v>1728.54</v>
      </c>
      <c r="L653">
        <v>1056.75</v>
      </c>
      <c r="M653">
        <v>671.79</v>
      </c>
      <c r="N653" t="s">
        <v>38</v>
      </c>
    </row>
    <row r="654" spans="1:14" x14ac:dyDescent="0.3">
      <c r="A654" t="s">
        <v>708</v>
      </c>
      <c r="B654" s="1">
        <v>45954</v>
      </c>
      <c r="C654" t="s">
        <v>43</v>
      </c>
      <c r="D654" t="s">
        <v>41</v>
      </c>
      <c r="E654" t="s">
        <v>24</v>
      </c>
      <c r="F654" t="s">
        <v>45</v>
      </c>
      <c r="G654" t="s">
        <v>46</v>
      </c>
      <c r="H654">
        <v>1</v>
      </c>
      <c r="I654">
        <v>673.07</v>
      </c>
      <c r="J654" s="13">
        <v>0</v>
      </c>
      <c r="K654">
        <v>673.07</v>
      </c>
      <c r="L654">
        <v>522.83000000000004</v>
      </c>
      <c r="M654">
        <v>150.24</v>
      </c>
      <c r="N654" t="s">
        <v>51</v>
      </c>
    </row>
    <row r="655" spans="1:14" x14ac:dyDescent="0.3">
      <c r="A655" t="s">
        <v>709</v>
      </c>
      <c r="B655" s="1">
        <v>45789</v>
      </c>
      <c r="C655" t="s">
        <v>43</v>
      </c>
      <c r="D655" t="s">
        <v>23</v>
      </c>
      <c r="E655" t="s">
        <v>17</v>
      </c>
      <c r="F655" t="s">
        <v>32</v>
      </c>
      <c r="G655" t="s">
        <v>33</v>
      </c>
      <c r="H655">
        <v>6</v>
      </c>
      <c r="I655">
        <v>590.95000000000005</v>
      </c>
      <c r="J655" s="13">
        <v>0</v>
      </c>
      <c r="K655">
        <v>3545.67</v>
      </c>
      <c r="L655">
        <v>2522.08</v>
      </c>
      <c r="M655">
        <v>1023.59</v>
      </c>
      <c r="N655" t="s">
        <v>72</v>
      </c>
    </row>
    <row r="656" spans="1:14" x14ac:dyDescent="0.3">
      <c r="A656" t="s">
        <v>710</v>
      </c>
      <c r="B656" s="1">
        <v>45874</v>
      </c>
      <c r="C656" t="s">
        <v>36</v>
      </c>
      <c r="D656" t="s">
        <v>23</v>
      </c>
      <c r="E656" t="s">
        <v>24</v>
      </c>
      <c r="F656" t="s">
        <v>45</v>
      </c>
      <c r="G656" t="s">
        <v>19</v>
      </c>
      <c r="H656">
        <v>1</v>
      </c>
      <c r="I656">
        <v>144.1</v>
      </c>
      <c r="J656" s="13">
        <v>0.1</v>
      </c>
      <c r="K656">
        <v>129.69</v>
      </c>
      <c r="L656">
        <v>93.25</v>
      </c>
      <c r="M656">
        <v>36.44</v>
      </c>
      <c r="N656" t="s">
        <v>20</v>
      </c>
    </row>
    <row r="657" spans="1:14" x14ac:dyDescent="0.3">
      <c r="A657" t="s">
        <v>711</v>
      </c>
      <c r="B657" s="1">
        <v>45725</v>
      </c>
      <c r="C657" t="s">
        <v>15</v>
      </c>
      <c r="D657" t="s">
        <v>23</v>
      </c>
      <c r="E657" t="s">
        <v>24</v>
      </c>
      <c r="F657" t="s">
        <v>18</v>
      </c>
      <c r="G657" t="s">
        <v>19</v>
      </c>
      <c r="H657">
        <v>4</v>
      </c>
      <c r="I657">
        <v>74.290000000000006</v>
      </c>
      <c r="J657" s="13">
        <v>0.1</v>
      </c>
      <c r="K657">
        <v>267.43</v>
      </c>
      <c r="L657">
        <v>204.73</v>
      </c>
      <c r="M657">
        <v>62.7</v>
      </c>
      <c r="N657" t="s">
        <v>53</v>
      </c>
    </row>
    <row r="658" spans="1:14" x14ac:dyDescent="0.3">
      <c r="A658" t="s">
        <v>712</v>
      </c>
      <c r="B658" s="1">
        <v>45696</v>
      </c>
      <c r="C658" t="s">
        <v>40</v>
      </c>
      <c r="D658" t="s">
        <v>31</v>
      </c>
      <c r="E658" t="s">
        <v>24</v>
      </c>
      <c r="F658" t="s">
        <v>18</v>
      </c>
      <c r="G658" t="s">
        <v>19</v>
      </c>
      <c r="H658">
        <v>4</v>
      </c>
      <c r="I658">
        <v>110.82</v>
      </c>
      <c r="J658" s="13">
        <v>0.05</v>
      </c>
      <c r="K658">
        <v>421.12</v>
      </c>
      <c r="L658">
        <v>312.83999999999997</v>
      </c>
      <c r="M658">
        <v>108.28</v>
      </c>
      <c r="N658" t="s">
        <v>102</v>
      </c>
    </row>
    <row r="659" spans="1:14" x14ac:dyDescent="0.3">
      <c r="A659" t="s">
        <v>713</v>
      </c>
      <c r="B659" s="1">
        <v>45833</v>
      </c>
      <c r="C659" t="s">
        <v>104</v>
      </c>
      <c r="D659" t="s">
        <v>41</v>
      </c>
      <c r="E659" t="s">
        <v>17</v>
      </c>
      <c r="F659" t="s">
        <v>45</v>
      </c>
      <c r="G659" t="s">
        <v>37</v>
      </c>
      <c r="H659">
        <v>2</v>
      </c>
      <c r="I659">
        <v>88.17</v>
      </c>
      <c r="J659" s="13">
        <v>0.03</v>
      </c>
      <c r="K659">
        <v>171.05</v>
      </c>
      <c r="L659">
        <v>108.75</v>
      </c>
      <c r="M659">
        <v>62.3</v>
      </c>
      <c r="N659" t="s">
        <v>76</v>
      </c>
    </row>
    <row r="660" spans="1:14" x14ac:dyDescent="0.3">
      <c r="A660" t="s">
        <v>714</v>
      </c>
      <c r="B660" s="1">
        <v>45886</v>
      </c>
      <c r="C660" t="s">
        <v>22</v>
      </c>
      <c r="D660" t="s">
        <v>41</v>
      </c>
      <c r="E660" t="s">
        <v>24</v>
      </c>
      <c r="F660" t="s">
        <v>45</v>
      </c>
      <c r="G660" t="s">
        <v>46</v>
      </c>
      <c r="H660">
        <v>5</v>
      </c>
      <c r="I660">
        <v>80.64</v>
      </c>
      <c r="J660" s="13">
        <v>0</v>
      </c>
      <c r="K660">
        <v>403.21</v>
      </c>
      <c r="L660">
        <v>296.82</v>
      </c>
      <c r="M660">
        <v>106.39</v>
      </c>
      <c r="N660" t="s">
        <v>20</v>
      </c>
    </row>
    <row r="661" spans="1:14" x14ac:dyDescent="0.3">
      <c r="A661" t="s">
        <v>715</v>
      </c>
      <c r="B661" s="1">
        <v>45828</v>
      </c>
      <c r="C661" t="s">
        <v>30</v>
      </c>
      <c r="D661" t="s">
        <v>31</v>
      </c>
      <c r="E661" t="s">
        <v>44</v>
      </c>
      <c r="F661" t="s">
        <v>18</v>
      </c>
      <c r="G661" t="s">
        <v>50</v>
      </c>
      <c r="H661">
        <v>3</v>
      </c>
      <c r="I661">
        <v>50.36</v>
      </c>
      <c r="J661" s="13">
        <v>0</v>
      </c>
      <c r="K661">
        <v>151.08000000000001</v>
      </c>
      <c r="L661">
        <v>101.2</v>
      </c>
      <c r="M661">
        <v>49.88</v>
      </c>
      <c r="N661" t="s">
        <v>76</v>
      </c>
    </row>
    <row r="662" spans="1:14" x14ac:dyDescent="0.3">
      <c r="A662" t="s">
        <v>716</v>
      </c>
      <c r="B662" s="1">
        <v>45800</v>
      </c>
      <c r="C662" t="s">
        <v>30</v>
      </c>
      <c r="D662" t="s">
        <v>41</v>
      </c>
      <c r="E662" t="s">
        <v>17</v>
      </c>
      <c r="F662" t="s">
        <v>18</v>
      </c>
      <c r="G662" t="s">
        <v>56</v>
      </c>
      <c r="H662">
        <v>2</v>
      </c>
      <c r="I662">
        <v>50.24</v>
      </c>
      <c r="J662" s="13">
        <v>0.1</v>
      </c>
      <c r="K662">
        <v>90.43</v>
      </c>
      <c r="L662">
        <v>71</v>
      </c>
      <c r="M662">
        <v>19.43</v>
      </c>
      <c r="N662" t="s">
        <v>72</v>
      </c>
    </row>
    <row r="663" spans="1:14" x14ac:dyDescent="0.3">
      <c r="A663" t="s">
        <v>717</v>
      </c>
      <c r="B663" s="1">
        <v>45771</v>
      </c>
      <c r="C663" t="s">
        <v>59</v>
      </c>
      <c r="D663" t="s">
        <v>41</v>
      </c>
      <c r="E663" t="s">
        <v>24</v>
      </c>
      <c r="F663" t="s">
        <v>18</v>
      </c>
      <c r="G663" t="s">
        <v>37</v>
      </c>
      <c r="H663">
        <v>1</v>
      </c>
      <c r="I663">
        <v>31.73</v>
      </c>
      <c r="J663" s="13">
        <v>0.1</v>
      </c>
      <c r="K663">
        <v>28.56</v>
      </c>
      <c r="L663">
        <v>24.34</v>
      </c>
      <c r="M663">
        <v>4.22</v>
      </c>
      <c r="N663" t="s">
        <v>63</v>
      </c>
    </row>
    <row r="664" spans="1:14" x14ac:dyDescent="0.3">
      <c r="A664" t="s">
        <v>718</v>
      </c>
      <c r="B664" s="1">
        <v>45853</v>
      </c>
      <c r="C664" t="s">
        <v>43</v>
      </c>
      <c r="D664" t="s">
        <v>16</v>
      </c>
      <c r="E664" t="s">
        <v>17</v>
      </c>
      <c r="F664" t="s">
        <v>32</v>
      </c>
      <c r="G664" t="s">
        <v>56</v>
      </c>
      <c r="H664">
        <v>5</v>
      </c>
      <c r="I664">
        <v>591.42999999999995</v>
      </c>
      <c r="J664" s="13">
        <v>0.15</v>
      </c>
      <c r="K664">
        <v>2513.6</v>
      </c>
      <c r="L664">
        <v>1840.21</v>
      </c>
      <c r="M664">
        <v>673.39</v>
      </c>
      <c r="N664" t="s">
        <v>26</v>
      </c>
    </row>
    <row r="665" spans="1:14" x14ac:dyDescent="0.3">
      <c r="A665" t="s">
        <v>719</v>
      </c>
      <c r="B665" s="1">
        <v>45891</v>
      </c>
      <c r="C665" t="s">
        <v>28</v>
      </c>
      <c r="D665" t="s">
        <v>23</v>
      </c>
      <c r="E665" t="s">
        <v>17</v>
      </c>
      <c r="F665" t="s">
        <v>18</v>
      </c>
      <c r="G665" t="s">
        <v>37</v>
      </c>
      <c r="H665">
        <v>3</v>
      </c>
      <c r="I665">
        <v>1001.3</v>
      </c>
      <c r="J665" s="13">
        <v>0.15</v>
      </c>
      <c r="K665">
        <v>2553.33</v>
      </c>
      <c r="L665">
        <v>1949.12</v>
      </c>
      <c r="M665">
        <v>604.21</v>
      </c>
      <c r="N665" t="s">
        <v>20</v>
      </c>
    </row>
    <row r="666" spans="1:14" x14ac:dyDescent="0.3">
      <c r="A666" t="s">
        <v>720</v>
      </c>
      <c r="B666" s="1">
        <v>45719</v>
      </c>
      <c r="C666" t="s">
        <v>59</v>
      </c>
      <c r="D666" t="s">
        <v>16</v>
      </c>
      <c r="E666" t="s">
        <v>17</v>
      </c>
      <c r="F666" t="s">
        <v>18</v>
      </c>
      <c r="G666" t="s">
        <v>56</v>
      </c>
      <c r="H666">
        <v>2</v>
      </c>
      <c r="I666">
        <v>34.020000000000003</v>
      </c>
      <c r="J666" s="13">
        <v>0</v>
      </c>
      <c r="K666">
        <v>68.040000000000006</v>
      </c>
      <c r="L666">
        <v>44.12</v>
      </c>
      <c r="M666">
        <v>23.92</v>
      </c>
      <c r="N666" t="s">
        <v>53</v>
      </c>
    </row>
    <row r="667" spans="1:14" x14ac:dyDescent="0.3">
      <c r="A667" t="s">
        <v>721</v>
      </c>
      <c r="B667" s="1">
        <v>45829</v>
      </c>
      <c r="C667" t="s">
        <v>48</v>
      </c>
      <c r="D667" t="s">
        <v>23</v>
      </c>
      <c r="E667" t="s">
        <v>17</v>
      </c>
      <c r="F667" t="s">
        <v>45</v>
      </c>
      <c r="G667" t="s">
        <v>19</v>
      </c>
      <c r="H667">
        <v>1</v>
      </c>
      <c r="I667">
        <v>315.37</v>
      </c>
      <c r="J667" s="13">
        <v>0</v>
      </c>
      <c r="K667">
        <v>315.37</v>
      </c>
      <c r="L667">
        <v>191.97</v>
      </c>
      <c r="M667">
        <v>123.4</v>
      </c>
      <c r="N667" t="s">
        <v>76</v>
      </c>
    </row>
    <row r="668" spans="1:14" x14ac:dyDescent="0.3">
      <c r="A668" t="s">
        <v>722</v>
      </c>
      <c r="B668" s="1">
        <v>45828</v>
      </c>
      <c r="C668" t="s">
        <v>104</v>
      </c>
      <c r="D668" t="s">
        <v>16</v>
      </c>
      <c r="E668" t="s">
        <v>24</v>
      </c>
      <c r="F668" t="s">
        <v>45</v>
      </c>
      <c r="G668" t="s">
        <v>46</v>
      </c>
      <c r="H668">
        <v>2</v>
      </c>
      <c r="I668">
        <v>101.52</v>
      </c>
      <c r="J668" s="13">
        <v>0.05</v>
      </c>
      <c r="K668">
        <v>192.88</v>
      </c>
      <c r="L668">
        <v>147.47999999999999</v>
      </c>
      <c r="M668">
        <v>45.4</v>
      </c>
      <c r="N668" t="s">
        <v>76</v>
      </c>
    </row>
    <row r="669" spans="1:14" x14ac:dyDescent="0.3">
      <c r="A669" t="s">
        <v>723</v>
      </c>
      <c r="B669" s="1">
        <v>45710</v>
      </c>
      <c r="C669" t="s">
        <v>69</v>
      </c>
      <c r="D669" t="s">
        <v>41</v>
      </c>
      <c r="E669" t="s">
        <v>17</v>
      </c>
      <c r="F669" t="s">
        <v>45</v>
      </c>
      <c r="G669" t="s">
        <v>37</v>
      </c>
      <c r="H669">
        <v>2</v>
      </c>
      <c r="I669">
        <v>284.61</v>
      </c>
      <c r="J669" s="13">
        <v>0</v>
      </c>
      <c r="K669">
        <v>569.21</v>
      </c>
      <c r="L669">
        <v>402.42</v>
      </c>
      <c r="M669">
        <v>166.79</v>
      </c>
      <c r="N669" t="s">
        <v>102</v>
      </c>
    </row>
    <row r="670" spans="1:14" x14ac:dyDescent="0.3">
      <c r="A670" t="s">
        <v>724</v>
      </c>
      <c r="B670" s="1">
        <v>45757</v>
      </c>
      <c r="C670" t="s">
        <v>67</v>
      </c>
      <c r="D670" t="s">
        <v>23</v>
      </c>
      <c r="E670" t="s">
        <v>24</v>
      </c>
      <c r="F670" t="s">
        <v>45</v>
      </c>
      <c r="G670" t="s">
        <v>56</v>
      </c>
      <c r="H670">
        <v>1</v>
      </c>
      <c r="I670">
        <v>198.17</v>
      </c>
      <c r="J670" s="13">
        <v>0.1</v>
      </c>
      <c r="K670">
        <v>178.35</v>
      </c>
      <c r="L670">
        <v>121.06</v>
      </c>
      <c r="M670">
        <v>57.29</v>
      </c>
      <c r="N670" t="s">
        <v>63</v>
      </c>
    </row>
    <row r="671" spans="1:14" x14ac:dyDescent="0.3">
      <c r="A671" t="s">
        <v>725</v>
      </c>
      <c r="B671" s="1">
        <v>45970</v>
      </c>
      <c r="C671" t="s">
        <v>30</v>
      </c>
      <c r="D671" t="s">
        <v>16</v>
      </c>
      <c r="E671" t="s">
        <v>44</v>
      </c>
      <c r="F671" t="s">
        <v>32</v>
      </c>
      <c r="G671" t="s">
        <v>50</v>
      </c>
      <c r="H671">
        <v>4</v>
      </c>
      <c r="I671">
        <v>51.83</v>
      </c>
      <c r="J671" s="13">
        <v>0.03</v>
      </c>
      <c r="K671">
        <v>201.09</v>
      </c>
      <c r="L671">
        <v>141.22</v>
      </c>
      <c r="M671">
        <v>59.87</v>
      </c>
      <c r="N671" t="s">
        <v>60</v>
      </c>
    </row>
    <row r="672" spans="1:14" x14ac:dyDescent="0.3">
      <c r="A672" t="s">
        <v>726</v>
      </c>
      <c r="B672" s="1">
        <v>45683</v>
      </c>
      <c r="C672" t="s">
        <v>40</v>
      </c>
      <c r="D672" t="s">
        <v>16</v>
      </c>
      <c r="E672" t="s">
        <v>17</v>
      </c>
      <c r="F672" t="s">
        <v>18</v>
      </c>
      <c r="G672" t="s">
        <v>37</v>
      </c>
      <c r="H672">
        <v>1</v>
      </c>
      <c r="I672">
        <v>106.55</v>
      </c>
      <c r="J672" s="13">
        <v>0.05</v>
      </c>
      <c r="K672">
        <v>101.23</v>
      </c>
      <c r="L672">
        <v>81.95</v>
      </c>
      <c r="M672">
        <v>19.28</v>
      </c>
      <c r="N672" t="s">
        <v>34</v>
      </c>
    </row>
    <row r="673" spans="1:14" x14ac:dyDescent="0.3">
      <c r="A673" t="s">
        <v>727</v>
      </c>
      <c r="B673" s="1">
        <v>45673</v>
      </c>
      <c r="C673" t="s">
        <v>22</v>
      </c>
      <c r="D673" t="s">
        <v>16</v>
      </c>
      <c r="E673" t="s">
        <v>24</v>
      </c>
      <c r="F673" t="s">
        <v>18</v>
      </c>
      <c r="G673" t="s">
        <v>19</v>
      </c>
      <c r="H673">
        <v>1</v>
      </c>
      <c r="I673">
        <v>89.19</v>
      </c>
      <c r="J673" s="13">
        <v>0.1</v>
      </c>
      <c r="K673">
        <v>80.27</v>
      </c>
      <c r="L673">
        <v>56.53</v>
      </c>
      <c r="M673">
        <v>23.74</v>
      </c>
      <c r="N673" t="s">
        <v>34</v>
      </c>
    </row>
    <row r="674" spans="1:14" x14ac:dyDescent="0.3">
      <c r="A674" t="s">
        <v>728</v>
      </c>
      <c r="B674" s="1">
        <v>45926</v>
      </c>
      <c r="C674" t="s">
        <v>30</v>
      </c>
      <c r="D674" t="s">
        <v>23</v>
      </c>
      <c r="E674" t="s">
        <v>17</v>
      </c>
      <c r="F674" t="s">
        <v>18</v>
      </c>
      <c r="G674" t="s">
        <v>79</v>
      </c>
      <c r="H674">
        <v>5</v>
      </c>
      <c r="I674">
        <v>56.41</v>
      </c>
      <c r="J674" s="13">
        <v>0.03</v>
      </c>
      <c r="K674">
        <v>273.58</v>
      </c>
      <c r="L674">
        <v>178.15</v>
      </c>
      <c r="M674">
        <v>95.43</v>
      </c>
      <c r="N674" t="s">
        <v>38</v>
      </c>
    </row>
    <row r="675" spans="1:14" x14ac:dyDescent="0.3">
      <c r="A675" t="s">
        <v>729</v>
      </c>
      <c r="B675" s="1">
        <v>45833</v>
      </c>
      <c r="C675" t="s">
        <v>22</v>
      </c>
      <c r="D675" t="s">
        <v>31</v>
      </c>
      <c r="E675" t="s">
        <v>24</v>
      </c>
      <c r="F675" t="s">
        <v>18</v>
      </c>
      <c r="G675" t="s">
        <v>25</v>
      </c>
      <c r="H675">
        <v>6</v>
      </c>
      <c r="I675">
        <v>77.45</v>
      </c>
      <c r="J675" s="13">
        <v>0.05</v>
      </c>
      <c r="K675">
        <v>441.45</v>
      </c>
      <c r="L675">
        <v>316.67</v>
      </c>
      <c r="M675">
        <v>124.78</v>
      </c>
      <c r="N675" t="s">
        <v>76</v>
      </c>
    </row>
    <row r="676" spans="1:14" x14ac:dyDescent="0.3">
      <c r="A676" t="s">
        <v>730</v>
      </c>
      <c r="B676" s="1">
        <v>45987</v>
      </c>
      <c r="C676" t="s">
        <v>67</v>
      </c>
      <c r="D676" t="s">
        <v>31</v>
      </c>
      <c r="E676" t="s">
        <v>17</v>
      </c>
      <c r="F676" t="s">
        <v>18</v>
      </c>
      <c r="G676" t="s">
        <v>25</v>
      </c>
      <c r="H676">
        <v>4</v>
      </c>
      <c r="I676">
        <v>188.14</v>
      </c>
      <c r="J676" s="13">
        <v>0.05</v>
      </c>
      <c r="K676">
        <v>714.94</v>
      </c>
      <c r="L676">
        <v>510.6</v>
      </c>
      <c r="M676">
        <v>204.34</v>
      </c>
      <c r="N676" t="s">
        <v>60</v>
      </c>
    </row>
    <row r="677" spans="1:14" x14ac:dyDescent="0.3">
      <c r="A677" t="s">
        <v>731</v>
      </c>
      <c r="B677" s="1">
        <v>45708</v>
      </c>
      <c r="C677" t="s">
        <v>48</v>
      </c>
      <c r="D677" t="s">
        <v>16</v>
      </c>
      <c r="E677" t="s">
        <v>17</v>
      </c>
      <c r="F677" t="s">
        <v>18</v>
      </c>
      <c r="G677" t="s">
        <v>50</v>
      </c>
      <c r="H677">
        <v>3</v>
      </c>
      <c r="I677">
        <v>337.5</v>
      </c>
      <c r="J677" s="13">
        <v>0.1</v>
      </c>
      <c r="K677">
        <v>911.24</v>
      </c>
      <c r="L677">
        <v>716.25</v>
      </c>
      <c r="M677">
        <v>194.99</v>
      </c>
      <c r="N677" t="s">
        <v>102</v>
      </c>
    </row>
    <row r="678" spans="1:14" x14ac:dyDescent="0.3">
      <c r="A678" t="s">
        <v>732</v>
      </c>
      <c r="B678" s="1">
        <v>45926</v>
      </c>
      <c r="C678" t="s">
        <v>40</v>
      </c>
      <c r="D678" t="s">
        <v>41</v>
      </c>
      <c r="E678" t="s">
        <v>17</v>
      </c>
      <c r="F678" t="s">
        <v>18</v>
      </c>
      <c r="G678" t="s">
        <v>25</v>
      </c>
      <c r="H678">
        <v>4</v>
      </c>
      <c r="I678">
        <v>108.83</v>
      </c>
      <c r="J678" s="13">
        <v>0</v>
      </c>
      <c r="K678">
        <v>435.32</v>
      </c>
      <c r="L678">
        <v>266.82</v>
      </c>
      <c r="M678">
        <v>168.5</v>
      </c>
      <c r="N678" t="s">
        <v>38</v>
      </c>
    </row>
    <row r="679" spans="1:14" x14ac:dyDescent="0.3">
      <c r="A679" t="s">
        <v>733</v>
      </c>
      <c r="B679" s="1">
        <v>45980</v>
      </c>
      <c r="C679" t="s">
        <v>15</v>
      </c>
      <c r="D679" t="s">
        <v>41</v>
      </c>
      <c r="E679" t="s">
        <v>44</v>
      </c>
      <c r="F679" t="s">
        <v>18</v>
      </c>
      <c r="G679" t="s">
        <v>56</v>
      </c>
      <c r="H679">
        <v>5</v>
      </c>
      <c r="I679">
        <v>67.92</v>
      </c>
      <c r="J679" s="13">
        <v>0.03</v>
      </c>
      <c r="K679">
        <v>329.43</v>
      </c>
      <c r="L679">
        <v>239.85</v>
      </c>
      <c r="M679">
        <v>89.58</v>
      </c>
      <c r="N679" t="s">
        <v>60</v>
      </c>
    </row>
    <row r="680" spans="1:14" x14ac:dyDescent="0.3">
      <c r="A680" t="s">
        <v>734</v>
      </c>
      <c r="B680" s="1">
        <v>45686</v>
      </c>
      <c r="C680" t="s">
        <v>43</v>
      </c>
      <c r="D680" t="s">
        <v>41</v>
      </c>
      <c r="E680" t="s">
        <v>24</v>
      </c>
      <c r="F680" t="s">
        <v>18</v>
      </c>
      <c r="G680" t="s">
        <v>56</v>
      </c>
      <c r="H680">
        <v>3</v>
      </c>
      <c r="I680">
        <v>593.89</v>
      </c>
      <c r="J680" s="13">
        <v>0.15</v>
      </c>
      <c r="K680">
        <v>1514.42</v>
      </c>
      <c r="L680">
        <v>1035.0999999999999</v>
      </c>
      <c r="M680">
        <v>479.32</v>
      </c>
      <c r="N680" t="s">
        <v>34</v>
      </c>
    </row>
    <row r="681" spans="1:14" x14ac:dyDescent="0.3">
      <c r="A681" t="s">
        <v>735</v>
      </c>
      <c r="B681" s="1">
        <v>45831</v>
      </c>
      <c r="C681" t="s">
        <v>30</v>
      </c>
      <c r="D681" t="s">
        <v>31</v>
      </c>
      <c r="E681" t="s">
        <v>24</v>
      </c>
      <c r="F681" t="s">
        <v>18</v>
      </c>
      <c r="G681" t="s">
        <v>33</v>
      </c>
      <c r="H681">
        <v>2</v>
      </c>
      <c r="I681">
        <v>60.37</v>
      </c>
      <c r="J681" s="13">
        <v>0.05</v>
      </c>
      <c r="K681">
        <v>114.7</v>
      </c>
      <c r="L681">
        <v>86.56</v>
      </c>
      <c r="M681">
        <v>28.14</v>
      </c>
      <c r="N681" t="s">
        <v>76</v>
      </c>
    </row>
    <row r="682" spans="1:14" x14ac:dyDescent="0.3">
      <c r="A682" t="s">
        <v>736</v>
      </c>
      <c r="B682" s="1">
        <v>45900</v>
      </c>
      <c r="C682" t="s">
        <v>30</v>
      </c>
      <c r="D682" t="s">
        <v>41</v>
      </c>
      <c r="E682" t="s">
        <v>24</v>
      </c>
      <c r="F682" t="s">
        <v>32</v>
      </c>
      <c r="G682" t="s">
        <v>46</v>
      </c>
      <c r="H682">
        <v>2</v>
      </c>
      <c r="I682">
        <v>59.68</v>
      </c>
      <c r="J682" s="13">
        <v>0</v>
      </c>
      <c r="K682">
        <v>119.35</v>
      </c>
      <c r="L682">
        <v>85.99</v>
      </c>
      <c r="M682">
        <v>33.36</v>
      </c>
      <c r="N682" t="s">
        <v>20</v>
      </c>
    </row>
    <row r="683" spans="1:14" x14ac:dyDescent="0.3">
      <c r="A683" t="s">
        <v>737</v>
      </c>
      <c r="B683" s="1">
        <v>45978</v>
      </c>
      <c r="C683" t="s">
        <v>67</v>
      </c>
      <c r="D683" t="s">
        <v>31</v>
      </c>
      <c r="E683" t="s">
        <v>17</v>
      </c>
      <c r="F683" t="s">
        <v>18</v>
      </c>
      <c r="G683" t="s">
        <v>50</v>
      </c>
      <c r="H683">
        <v>1</v>
      </c>
      <c r="I683">
        <v>176.57</v>
      </c>
      <c r="J683" s="13">
        <v>0.1</v>
      </c>
      <c r="K683">
        <v>158.91</v>
      </c>
      <c r="L683">
        <v>124.18</v>
      </c>
      <c r="M683">
        <v>34.729999999999997</v>
      </c>
      <c r="N683" t="s">
        <v>60</v>
      </c>
    </row>
    <row r="684" spans="1:14" x14ac:dyDescent="0.3">
      <c r="A684" t="s">
        <v>738</v>
      </c>
      <c r="B684" s="1">
        <v>45701</v>
      </c>
      <c r="C684" t="s">
        <v>40</v>
      </c>
      <c r="D684" t="s">
        <v>23</v>
      </c>
      <c r="E684" t="s">
        <v>24</v>
      </c>
      <c r="F684" t="s">
        <v>45</v>
      </c>
      <c r="G684" t="s">
        <v>79</v>
      </c>
      <c r="H684">
        <v>1</v>
      </c>
      <c r="I684">
        <v>101.95</v>
      </c>
      <c r="J684" s="13">
        <v>0.1</v>
      </c>
      <c r="K684">
        <v>91.75</v>
      </c>
      <c r="L684">
        <v>61.97</v>
      </c>
      <c r="M684">
        <v>29.78</v>
      </c>
      <c r="N684" t="s">
        <v>102</v>
      </c>
    </row>
    <row r="685" spans="1:14" x14ac:dyDescent="0.3">
      <c r="A685" t="s">
        <v>739</v>
      </c>
      <c r="B685" s="1">
        <v>45871</v>
      </c>
      <c r="C685" t="s">
        <v>28</v>
      </c>
      <c r="D685" t="s">
        <v>16</v>
      </c>
      <c r="E685" t="s">
        <v>44</v>
      </c>
      <c r="F685" t="s">
        <v>18</v>
      </c>
      <c r="G685" t="s">
        <v>79</v>
      </c>
      <c r="H685">
        <v>5</v>
      </c>
      <c r="I685">
        <v>1032.93</v>
      </c>
      <c r="J685" s="13">
        <v>0.1</v>
      </c>
      <c r="K685">
        <v>4648.2</v>
      </c>
      <c r="L685">
        <v>3203.04</v>
      </c>
      <c r="M685">
        <v>1445.16</v>
      </c>
      <c r="N685" t="s">
        <v>20</v>
      </c>
    </row>
    <row r="686" spans="1:14" x14ac:dyDescent="0.3">
      <c r="A686" t="s">
        <v>740</v>
      </c>
      <c r="B686" s="1">
        <v>45831</v>
      </c>
      <c r="C686" t="s">
        <v>69</v>
      </c>
      <c r="D686" t="s">
        <v>31</v>
      </c>
      <c r="E686" t="s">
        <v>44</v>
      </c>
      <c r="F686" t="s">
        <v>18</v>
      </c>
      <c r="G686" t="s">
        <v>79</v>
      </c>
      <c r="H686">
        <v>2</v>
      </c>
      <c r="I686">
        <v>283.77999999999997</v>
      </c>
      <c r="J686" s="13">
        <v>0.15</v>
      </c>
      <c r="K686">
        <v>482.42</v>
      </c>
      <c r="L686">
        <v>360.23</v>
      </c>
      <c r="M686">
        <v>122.19</v>
      </c>
      <c r="N686" t="s">
        <v>76</v>
      </c>
    </row>
    <row r="687" spans="1:14" x14ac:dyDescent="0.3">
      <c r="A687" t="s">
        <v>741</v>
      </c>
      <c r="B687" s="1">
        <v>45678</v>
      </c>
      <c r="C687" t="s">
        <v>69</v>
      </c>
      <c r="D687" t="s">
        <v>41</v>
      </c>
      <c r="E687" t="s">
        <v>24</v>
      </c>
      <c r="F687" t="s">
        <v>18</v>
      </c>
      <c r="G687" t="s">
        <v>56</v>
      </c>
      <c r="H687">
        <v>3</v>
      </c>
      <c r="I687">
        <v>252.78</v>
      </c>
      <c r="J687" s="13">
        <v>0.1</v>
      </c>
      <c r="K687">
        <v>682.52</v>
      </c>
      <c r="L687">
        <v>540.85</v>
      </c>
      <c r="M687">
        <v>141.66999999999999</v>
      </c>
      <c r="N687" t="s">
        <v>34</v>
      </c>
    </row>
    <row r="688" spans="1:14" x14ac:dyDescent="0.3">
      <c r="A688" t="s">
        <v>742</v>
      </c>
      <c r="B688" s="1">
        <v>45683</v>
      </c>
      <c r="C688" t="s">
        <v>22</v>
      </c>
      <c r="D688" t="s">
        <v>41</v>
      </c>
      <c r="E688" t="s">
        <v>24</v>
      </c>
      <c r="F688" t="s">
        <v>45</v>
      </c>
      <c r="G688" t="s">
        <v>50</v>
      </c>
      <c r="H688">
        <v>4</v>
      </c>
      <c r="I688">
        <v>90.41</v>
      </c>
      <c r="J688" s="13">
        <v>0</v>
      </c>
      <c r="K688">
        <v>361.63</v>
      </c>
      <c r="L688">
        <v>265.12</v>
      </c>
      <c r="M688">
        <v>96.51</v>
      </c>
      <c r="N688" t="s">
        <v>34</v>
      </c>
    </row>
    <row r="689" spans="1:14" x14ac:dyDescent="0.3">
      <c r="A689" t="s">
        <v>743</v>
      </c>
      <c r="B689" s="1">
        <v>45989</v>
      </c>
      <c r="C689" t="s">
        <v>69</v>
      </c>
      <c r="D689" t="s">
        <v>41</v>
      </c>
      <c r="E689" t="s">
        <v>24</v>
      </c>
      <c r="F689" t="s">
        <v>45</v>
      </c>
      <c r="G689" t="s">
        <v>56</v>
      </c>
      <c r="H689">
        <v>3</v>
      </c>
      <c r="I689">
        <v>300.85000000000002</v>
      </c>
      <c r="J689" s="13">
        <v>0</v>
      </c>
      <c r="K689">
        <v>902.56</v>
      </c>
      <c r="L689">
        <v>697.2</v>
      </c>
      <c r="M689">
        <v>205.36</v>
      </c>
      <c r="N689" t="s">
        <v>60</v>
      </c>
    </row>
    <row r="690" spans="1:14" x14ac:dyDescent="0.3">
      <c r="A690" t="s">
        <v>744</v>
      </c>
      <c r="B690" s="1">
        <v>45761</v>
      </c>
      <c r="C690" t="s">
        <v>28</v>
      </c>
      <c r="D690" t="s">
        <v>41</v>
      </c>
      <c r="E690" t="s">
        <v>44</v>
      </c>
      <c r="F690" t="s">
        <v>18</v>
      </c>
      <c r="G690" t="s">
        <v>33</v>
      </c>
      <c r="H690">
        <v>3</v>
      </c>
      <c r="I690">
        <v>877.7</v>
      </c>
      <c r="J690" s="13">
        <v>0.1</v>
      </c>
      <c r="K690">
        <v>2369.7800000000002</v>
      </c>
      <c r="L690">
        <v>1635.95</v>
      </c>
      <c r="M690">
        <v>733.83</v>
      </c>
      <c r="N690" t="s">
        <v>63</v>
      </c>
    </row>
    <row r="691" spans="1:14" x14ac:dyDescent="0.3">
      <c r="A691" t="s">
        <v>745</v>
      </c>
      <c r="B691" s="1">
        <v>45913</v>
      </c>
      <c r="C691" t="s">
        <v>36</v>
      </c>
      <c r="D691" t="s">
        <v>23</v>
      </c>
      <c r="E691" t="s">
        <v>17</v>
      </c>
      <c r="F691" t="s">
        <v>18</v>
      </c>
      <c r="G691" t="s">
        <v>33</v>
      </c>
      <c r="H691">
        <v>2</v>
      </c>
      <c r="I691">
        <v>133.09</v>
      </c>
      <c r="J691" s="13">
        <v>0.1</v>
      </c>
      <c r="K691">
        <v>239.57</v>
      </c>
      <c r="L691">
        <v>199.97</v>
      </c>
      <c r="M691">
        <v>39.6</v>
      </c>
      <c r="N691" t="s">
        <v>38</v>
      </c>
    </row>
    <row r="692" spans="1:14" x14ac:dyDescent="0.3">
      <c r="A692" t="s">
        <v>746</v>
      </c>
      <c r="B692" s="1">
        <v>45672</v>
      </c>
      <c r="C692" t="s">
        <v>69</v>
      </c>
      <c r="D692" t="s">
        <v>23</v>
      </c>
      <c r="E692" t="s">
        <v>24</v>
      </c>
      <c r="F692" t="s">
        <v>18</v>
      </c>
      <c r="G692" t="s">
        <v>19</v>
      </c>
      <c r="H692">
        <v>1</v>
      </c>
      <c r="I692">
        <v>292.32</v>
      </c>
      <c r="J692" s="13">
        <v>0.05</v>
      </c>
      <c r="K692">
        <v>277.7</v>
      </c>
      <c r="L692">
        <v>190.36</v>
      </c>
      <c r="M692">
        <v>87.34</v>
      </c>
      <c r="N692" t="s">
        <v>34</v>
      </c>
    </row>
    <row r="693" spans="1:14" x14ac:dyDescent="0.3">
      <c r="A693" t="s">
        <v>747</v>
      </c>
      <c r="B693" s="1">
        <v>45717</v>
      </c>
      <c r="C693" t="s">
        <v>22</v>
      </c>
      <c r="D693" t="s">
        <v>16</v>
      </c>
      <c r="E693" t="s">
        <v>24</v>
      </c>
      <c r="F693" t="s">
        <v>18</v>
      </c>
      <c r="G693" t="s">
        <v>37</v>
      </c>
      <c r="H693">
        <v>1</v>
      </c>
      <c r="I693">
        <v>91.35</v>
      </c>
      <c r="J693" s="13">
        <v>0.1</v>
      </c>
      <c r="K693">
        <v>82.22</v>
      </c>
      <c r="L693">
        <v>63.83</v>
      </c>
      <c r="M693">
        <v>18.39</v>
      </c>
      <c r="N693" t="s">
        <v>53</v>
      </c>
    </row>
    <row r="694" spans="1:14" x14ac:dyDescent="0.3">
      <c r="A694" t="s">
        <v>748</v>
      </c>
      <c r="B694" s="1">
        <v>45936</v>
      </c>
      <c r="C694" t="s">
        <v>104</v>
      </c>
      <c r="D694" t="s">
        <v>31</v>
      </c>
      <c r="E694" t="s">
        <v>24</v>
      </c>
      <c r="F694" t="s">
        <v>18</v>
      </c>
      <c r="G694" t="s">
        <v>56</v>
      </c>
      <c r="H694">
        <v>3</v>
      </c>
      <c r="I694">
        <v>101.71</v>
      </c>
      <c r="J694" s="13">
        <v>0</v>
      </c>
      <c r="K694">
        <v>305.13</v>
      </c>
      <c r="L694">
        <v>188.67</v>
      </c>
      <c r="M694">
        <v>116.46</v>
      </c>
      <c r="N694" t="s">
        <v>51</v>
      </c>
    </row>
    <row r="695" spans="1:14" x14ac:dyDescent="0.3">
      <c r="A695" t="s">
        <v>749</v>
      </c>
      <c r="B695" s="1">
        <v>45895</v>
      </c>
      <c r="C695" t="s">
        <v>15</v>
      </c>
      <c r="D695" t="s">
        <v>31</v>
      </c>
      <c r="E695" t="s">
        <v>44</v>
      </c>
      <c r="F695" t="s">
        <v>18</v>
      </c>
      <c r="G695" t="s">
        <v>50</v>
      </c>
      <c r="H695">
        <v>3</v>
      </c>
      <c r="I695">
        <v>80.22</v>
      </c>
      <c r="J695" s="13">
        <v>0.05</v>
      </c>
      <c r="K695">
        <v>228.64</v>
      </c>
      <c r="L695">
        <v>163.19</v>
      </c>
      <c r="M695">
        <v>65.45</v>
      </c>
      <c r="N695" t="s">
        <v>20</v>
      </c>
    </row>
    <row r="696" spans="1:14" x14ac:dyDescent="0.3">
      <c r="A696" t="s">
        <v>750</v>
      </c>
      <c r="B696" s="1">
        <v>45691</v>
      </c>
      <c r="C696" t="s">
        <v>43</v>
      </c>
      <c r="D696" t="s">
        <v>23</v>
      </c>
      <c r="E696" t="s">
        <v>17</v>
      </c>
      <c r="F696" t="s">
        <v>32</v>
      </c>
      <c r="G696" t="s">
        <v>19</v>
      </c>
      <c r="H696">
        <v>6</v>
      </c>
      <c r="I696">
        <v>648.03</v>
      </c>
      <c r="J696" s="13">
        <v>0.1</v>
      </c>
      <c r="K696">
        <v>3499.37</v>
      </c>
      <c r="L696">
        <v>2725.29</v>
      </c>
      <c r="M696">
        <v>774.08</v>
      </c>
      <c r="N696" t="s">
        <v>102</v>
      </c>
    </row>
    <row r="697" spans="1:14" x14ac:dyDescent="0.3">
      <c r="A697" t="s">
        <v>751</v>
      </c>
      <c r="B697" s="1">
        <v>45737</v>
      </c>
      <c r="C697" t="s">
        <v>43</v>
      </c>
      <c r="D697" t="s">
        <v>16</v>
      </c>
      <c r="E697" t="s">
        <v>24</v>
      </c>
      <c r="F697" t="s">
        <v>18</v>
      </c>
      <c r="G697" t="s">
        <v>19</v>
      </c>
      <c r="H697">
        <v>1</v>
      </c>
      <c r="I697">
        <v>595.83000000000004</v>
      </c>
      <c r="J697" s="13">
        <v>0.05</v>
      </c>
      <c r="K697">
        <v>566.04</v>
      </c>
      <c r="L697">
        <v>382.18</v>
      </c>
      <c r="M697">
        <v>183.86</v>
      </c>
      <c r="N697" t="s">
        <v>53</v>
      </c>
    </row>
    <row r="698" spans="1:14" x14ac:dyDescent="0.3">
      <c r="A698" t="s">
        <v>752</v>
      </c>
      <c r="B698" s="1">
        <v>45945</v>
      </c>
      <c r="C698" t="s">
        <v>28</v>
      </c>
      <c r="D698" t="s">
        <v>31</v>
      </c>
      <c r="E698" t="s">
        <v>17</v>
      </c>
      <c r="F698" t="s">
        <v>18</v>
      </c>
      <c r="G698" t="s">
        <v>50</v>
      </c>
      <c r="H698">
        <v>4</v>
      </c>
      <c r="I698">
        <v>911.71</v>
      </c>
      <c r="J698" s="13">
        <v>0.03</v>
      </c>
      <c r="K698">
        <v>3537.45</v>
      </c>
      <c r="L698">
        <v>2318.02</v>
      </c>
      <c r="M698">
        <v>1219.43</v>
      </c>
      <c r="N698" t="s">
        <v>51</v>
      </c>
    </row>
    <row r="699" spans="1:14" x14ac:dyDescent="0.3">
      <c r="A699" t="s">
        <v>753</v>
      </c>
      <c r="B699" s="1">
        <v>45712</v>
      </c>
      <c r="C699" t="s">
        <v>30</v>
      </c>
      <c r="D699" t="s">
        <v>31</v>
      </c>
      <c r="E699" t="s">
        <v>44</v>
      </c>
      <c r="F699" t="s">
        <v>32</v>
      </c>
      <c r="G699" t="s">
        <v>46</v>
      </c>
      <c r="H699">
        <v>1</v>
      </c>
      <c r="I699">
        <v>57.3</v>
      </c>
      <c r="J699" s="13">
        <v>0.03</v>
      </c>
      <c r="K699">
        <v>55.58</v>
      </c>
      <c r="L699">
        <v>42.13</v>
      </c>
      <c r="M699">
        <v>13.45</v>
      </c>
      <c r="N699" t="s">
        <v>102</v>
      </c>
    </row>
    <row r="700" spans="1:14" x14ac:dyDescent="0.3">
      <c r="A700" t="s">
        <v>754</v>
      </c>
      <c r="B700" s="1">
        <v>45779</v>
      </c>
      <c r="C700" t="s">
        <v>28</v>
      </c>
      <c r="D700" t="s">
        <v>16</v>
      </c>
      <c r="E700" t="s">
        <v>24</v>
      </c>
      <c r="F700" t="s">
        <v>32</v>
      </c>
      <c r="G700" t="s">
        <v>37</v>
      </c>
      <c r="H700">
        <v>1</v>
      </c>
      <c r="I700">
        <v>1016.98</v>
      </c>
      <c r="J700" s="13">
        <v>0.1</v>
      </c>
      <c r="K700">
        <v>915.28</v>
      </c>
      <c r="L700">
        <v>661.55</v>
      </c>
      <c r="M700">
        <v>253.73</v>
      </c>
      <c r="N700" t="s">
        <v>72</v>
      </c>
    </row>
    <row r="701" spans="1:14" x14ac:dyDescent="0.3">
      <c r="A701" t="s">
        <v>755</v>
      </c>
      <c r="B701" s="1">
        <v>45848</v>
      </c>
      <c r="C701" t="s">
        <v>59</v>
      </c>
      <c r="D701" t="s">
        <v>41</v>
      </c>
      <c r="E701" t="s">
        <v>17</v>
      </c>
      <c r="F701" t="s">
        <v>18</v>
      </c>
      <c r="G701" t="s">
        <v>33</v>
      </c>
      <c r="H701">
        <v>1</v>
      </c>
      <c r="I701">
        <v>32.119999999999997</v>
      </c>
      <c r="J701" s="13">
        <v>0</v>
      </c>
      <c r="K701">
        <v>32.119999999999997</v>
      </c>
      <c r="L701">
        <v>19.43</v>
      </c>
      <c r="M701">
        <v>12.69</v>
      </c>
      <c r="N701" t="s">
        <v>26</v>
      </c>
    </row>
    <row r="702" spans="1:14" x14ac:dyDescent="0.3">
      <c r="A702" t="s">
        <v>756</v>
      </c>
      <c r="B702" s="1">
        <v>45839</v>
      </c>
      <c r="C702" t="s">
        <v>36</v>
      </c>
      <c r="D702" t="s">
        <v>41</v>
      </c>
      <c r="E702" t="s">
        <v>17</v>
      </c>
      <c r="F702" t="s">
        <v>18</v>
      </c>
      <c r="G702" t="s">
        <v>33</v>
      </c>
      <c r="H702">
        <v>4</v>
      </c>
      <c r="I702">
        <v>138.32</v>
      </c>
      <c r="J702" s="13">
        <v>0.05</v>
      </c>
      <c r="K702">
        <v>525.63</v>
      </c>
      <c r="L702">
        <v>430.36</v>
      </c>
      <c r="M702">
        <v>95.27</v>
      </c>
      <c r="N702" t="s">
        <v>26</v>
      </c>
    </row>
    <row r="703" spans="1:14" x14ac:dyDescent="0.3">
      <c r="A703" t="s">
        <v>757</v>
      </c>
      <c r="B703" s="1">
        <v>45744</v>
      </c>
      <c r="C703" t="s">
        <v>28</v>
      </c>
      <c r="D703" t="s">
        <v>16</v>
      </c>
      <c r="E703" t="s">
        <v>24</v>
      </c>
      <c r="F703" t="s">
        <v>18</v>
      </c>
      <c r="G703" t="s">
        <v>56</v>
      </c>
      <c r="H703">
        <v>5</v>
      </c>
      <c r="I703">
        <v>1044.9000000000001</v>
      </c>
      <c r="J703" s="13">
        <v>0.1</v>
      </c>
      <c r="K703">
        <v>4702.04</v>
      </c>
      <c r="L703">
        <v>3562.81</v>
      </c>
      <c r="M703">
        <v>1139.23</v>
      </c>
      <c r="N703" t="s">
        <v>53</v>
      </c>
    </row>
    <row r="704" spans="1:14" x14ac:dyDescent="0.3">
      <c r="A704" t="s">
        <v>758</v>
      </c>
      <c r="B704" s="1">
        <v>45901</v>
      </c>
      <c r="C704" t="s">
        <v>30</v>
      </c>
      <c r="D704" t="s">
        <v>23</v>
      </c>
      <c r="E704" t="s">
        <v>17</v>
      </c>
      <c r="F704" t="s">
        <v>18</v>
      </c>
      <c r="G704" t="s">
        <v>79</v>
      </c>
      <c r="H704">
        <v>1</v>
      </c>
      <c r="I704">
        <v>59.18</v>
      </c>
      <c r="J704" s="13">
        <v>0.03</v>
      </c>
      <c r="K704">
        <v>57.41</v>
      </c>
      <c r="L704">
        <v>41.67</v>
      </c>
      <c r="M704">
        <v>15.74</v>
      </c>
      <c r="N704" t="s">
        <v>38</v>
      </c>
    </row>
    <row r="705" spans="1:14" x14ac:dyDescent="0.3">
      <c r="A705" t="s">
        <v>759</v>
      </c>
      <c r="B705" s="1">
        <v>45886</v>
      </c>
      <c r="C705" t="s">
        <v>67</v>
      </c>
      <c r="D705" t="s">
        <v>41</v>
      </c>
      <c r="E705" t="s">
        <v>24</v>
      </c>
      <c r="F705" t="s">
        <v>18</v>
      </c>
      <c r="G705" t="s">
        <v>25</v>
      </c>
      <c r="H705">
        <v>2</v>
      </c>
      <c r="I705">
        <v>188.72</v>
      </c>
      <c r="J705" s="13">
        <v>0</v>
      </c>
      <c r="K705">
        <v>377.44</v>
      </c>
      <c r="L705">
        <v>285.04000000000002</v>
      </c>
      <c r="M705">
        <v>92.4</v>
      </c>
      <c r="N705" t="s">
        <v>20</v>
      </c>
    </row>
    <row r="706" spans="1:14" x14ac:dyDescent="0.3">
      <c r="A706" t="s">
        <v>760</v>
      </c>
      <c r="B706" s="1">
        <v>45735</v>
      </c>
      <c r="C706" t="s">
        <v>15</v>
      </c>
      <c r="D706" t="s">
        <v>23</v>
      </c>
      <c r="E706" t="s">
        <v>24</v>
      </c>
      <c r="F706" t="s">
        <v>18</v>
      </c>
      <c r="G706" t="s">
        <v>56</v>
      </c>
      <c r="H706">
        <v>1</v>
      </c>
      <c r="I706">
        <v>82.4</v>
      </c>
      <c r="J706" s="13">
        <v>0.05</v>
      </c>
      <c r="K706">
        <v>78.28</v>
      </c>
      <c r="L706">
        <v>50.65</v>
      </c>
      <c r="M706">
        <v>27.63</v>
      </c>
      <c r="N706" t="s">
        <v>53</v>
      </c>
    </row>
    <row r="707" spans="1:14" x14ac:dyDescent="0.3">
      <c r="A707" t="s">
        <v>761</v>
      </c>
      <c r="B707" s="1">
        <v>45963</v>
      </c>
      <c r="C707" t="s">
        <v>22</v>
      </c>
      <c r="D707" t="s">
        <v>16</v>
      </c>
      <c r="E707" t="s">
        <v>24</v>
      </c>
      <c r="F707" t="s">
        <v>18</v>
      </c>
      <c r="G707" t="s">
        <v>25</v>
      </c>
      <c r="H707">
        <v>4</v>
      </c>
      <c r="I707">
        <v>93.43</v>
      </c>
      <c r="J707" s="13">
        <v>0.05</v>
      </c>
      <c r="K707">
        <v>355.02</v>
      </c>
      <c r="L707">
        <v>285.75</v>
      </c>
      <c r="M707">
        <v>69.27</v>
      </c>
      <c r="N707" t="s">
        <v>60</v>
      </c>
    </row>
    <row r="708" spans="1:14" x14ac:dyDescent="0.3">
      <c r="A708" t="s">
        <v>762</v>
      </c>
      <c r="B708" s="1">
        <v>45900</v>
      </c>
      <c r="C708" t="s">
        <v>104</v>
      </c>
      <c r="D708" t="s">
        <v>31</v>
      </c>
      <c r="E708" t="s">
        <v>24</v>
      </c>
      <c r="F708" t="s">
        <v>45</v>
      </c>
      <c r="G708" t="s">
        <v>37</v>
      </c>
      <c r="H708">
        <v>3</v>
      </c>
      <c r="I708">
        <v>89.39</v>
      </c>
      <c r="J708" s="13">
        <v>0.05</v>
      </c>
      <c r="K708">
        <v>254.76</v>
      </c>
      <c r="L708">
        <v>171.77</v>
      </c>
      <c r="M708">
        <v>82.99</v>
      </c>
      <c r="N708" t="s">
        <v>20</v>
      </c>
    </row>
    <row r="709" spans="1:14" x14ac:dyDescent="0.3">
      <c r="A709" t="s">
        <v>763</v>
      </c>
      <c r="B709" s="1">
        <v>45994</v>
      </c>
      <c r="C709" t="s">
        <v>48</v>
      </c>
      <c r="D709" t="s">
        <v>23</v>
      </c>
      <c r="E709" t="s">
        <v>24</v>
      </c>
      <c r="F709" t="s">
        <v>32</v>
      </c>
      <c r="G709" t="s">
        <v>33</v>
      </c>
      <c r="H709">
        <v>6</v>
      </c>
      <c r="I709">
        <v>306.68</v>
      </c>
      <c r="J709" s="13">
        <v>0.05</v>
      </c>
      <c r="K709">
        <v>1748.08</v>
      </c>
      <c r="L709">
        <v>1189.3</v>
      </c>
      <c r="M709">
        <v>558.78</v>
      </c>
      <c r="N709" t="s">
        <v>70</v>
      </c>
    </row>
    <row r="710" spans="1:14" x14ac:dyDescent="0.3">
      <c r="A710" t="s">
        <v>764</v>
      </c>
      <c r="B710" s="1">
        <v>46001</v>
      </c>
      <c r="C710" t="s">
        <v>30</v>
      </c>
      <c r="D710" t="s">
        <v>31</v>
      </c>
      <c r="E710" t="s">
        <v>24</v>
      </c>
      <c r="F710" t="s">
        <v>18</v>
      </c>
      <c r="G710" t="s">
        <v>19</v>
      </c>
      <c r="H710">
        <v>2</v>
      </c>
      <c r="I710">
        <v>49.67</v>
      </c>
      <c r="J710" s="13">
        <v>0</v>
      </c>
      <c r="K710">
        <v>99.35</v>
      </c>
      <c r="L710">
        <v>62.72</v>
      </c>
      <c r="M710">
        <v>36.630000000000003</v>
      </c>
      <c r="N710" t="s">
        <v>70</v>
      </c>
    </row>
    <row r="711" spans="1:14" x14ac:dyDescent="0.3">
      <c r="A711" t="s">
        <v>765</v>
      </c>
      <c r="B711" s="1">
        <v>45970</v>
      </c>
      <c r="C711" t="s">
        <v>43</v>
      </c>
      <c r="D711" t="s">
        <v>16</v>
      </c>
      <c r="E711" t="s">
        <v>24</v>
      </c>
      <c r="F711" t="s">
        <v>45</v>
      </c>
      <c r="G711" t="s">
        <v>46</v>
      </c>
      <c r="H711">
        <v>1</v>
      </c>
      <c r="I711">
        <v>643.79999999999995</v>
      </c>
      <c r="J711" s="13">
        <v>0</v>
      </c>
      <c r="K711">
        <v>643.79999999999995</v>
      </c>
      <c r="L711">
        <v>481.84</v>
      </c>
      <c r="M711">
        <v>161.96</v>
      </c>
      <c r="N711" t="s">
        <v>60</v>
      </c>
    </row>
    <row r="712" spans="1:14" x14ac:dyDescent="0.3">
      <c r="A712" t="s">
        <v>766</v>
      </c>
      <c r="B712" s="1">
        <v>45867</v>
      </c>
      <c r="C712" t="s">
        <v>48</v>
      </c>
      <c r="D712" t="s">
        <v>41</v>
      </c>
      <c r="E712" t="s">
        <v>24</v>
      </c>
      <c r="F712" t="s">
        <v>18</v>
      </c>
      <c r="G712" t="s">
        <v>37</v>
      </c>
      <c r="H712">
        <v>2</v>
      </c>
      <c r="I712">
        <v>341.48</v>
      </c>
      <c r="J712" s="13">
        <v>0.1</v>
      </c>
      <c r="K712">
        <v>614.66</v>
      </c>
      <c r="L712">
        <v>522.69000000000005</v>
      </c>
      <c r="M712">
        <v>91.97</v>
      </c>
      <c r="N712" t="s">
        <v>26</v>
      </c>
    </row>
    <row r="713" spans="1:14" x14ac:dyDescent="0.3">
      <c r="A713" t="s">
        <v>767</v>
      </c>
      <c r="B713" s="1">
        <v>46011</v>
      </c>
      <c r="C713" t="s">
        <v>48</v>
      </c>
      <c r="D713" t="s">
        <v>41</v>
      </c>
      <c r="E713" t="s">
        <v>17</v>
      </c>
      <c r="F713" t="s">
        <v>45</v>
      </c>
      <c r="G713" t="s">
        <v>37</v>
      </c>
      <c r="H713">
        <v>1</v>
      </c>
      <c r="I713">
        <v>353.09</v>
      </c>
      <c r="J713" s="13">
        <v>0.1</v>
      </c>
      <c r="K713">
        <v>317.77999999999997</v>
      </c>
      <c r="L713">
        <v>212.2</v>
      </c>
      <c r="M713">
        <v>105.58</v>
      </c>
      <c r="N713" t="s">
        <v>70</v>
      </c>
    </row>
    <row r="714" spans="1:14" x14ac:dyDescent="0.3">
      <c r="A714" t="s">
        <v>768</v>
      </c>
      <c r="B714" s="1">
        <v>45710</v>
      </c>
      <c r="C714" t="s">
        <v>69</v>
      </c>
      <c r="D714" t="s">
        <v>41</v>
      </c>
      <c r="E714" t="s">
        <v>44</v>
      </c>
      <c r="F714" t="s">
        <v>18</v>
      </c>
      <c r="G714" t="s">
        <v>33</v>
      </c>
      <c r="H714">
        <v>4</v>
      </c>
      <c r="I714">
        <v>296.70999999999998</v>
      </c>
      <c r="J714" s="13">
        <v>0</v>
      </c>
      <c r="K714">
        <v>1186.8499999999999</v>
      </c>
      <c r="L714">
        <v>775.42</v>
      </c>
      <c r="M714">
        <v>411.43</v>
      </c>
      <c r="N714" t="s">
        <v>102</v>
      </c>
    </row>
    <row r="715" spans="1:14" x14ac:dyDescent="0.3">
      <c r="A715" t="s">
        <v>769</v>
      </c>
      <c r="B715" s="1">
        <v>45907</v>
      </c>
      <c r="C715" t="s">
        <v>15</v>
      </c>
      <c r="D715" t="s">
        <v>23</v>
      </c>
      <c r="E715" t="s">
        <v>24</v>
      </c>
      <c r="F715" t="s">
        <v>18</v>
      </c>
      <c r="G715" t="s">
        <v>19</v>
      </c>
      <c r="H715">
        <v>6</v>
      </c>
      <c r="I715">
        <v>76.180000000000007</v>
      </c>
      <c r="J715" s="13">
        <v>0.05</v>
      </c>
      <c r="K715">
        <v>434.22</v>
      </c>
      <c r="L715">
        <v>281.05</v>
      </c>
      <c r="M715">
        <v>153.16999999999999</v>
      </c>
      <c r="N715" t="s">
        <v>38</v>
      </c>
    </row>
    <row r="716" spans="1:14" x14ac:dyDescent="0.3">
      <c r="A716" t="s">
        <v>770</v>
      </c>
      <c r="B716" s="1">
        <v>45715</v>
      </c>
      <c r="C716" t="s">
        <v>48</v>
      </c>
      <c r="D716" t="s">
        <v>31</v>
      </c>
      <c r="E716" t="s">
        <v>17</v>
      </c>
      <c r="F716" t="s">
        <v>45</v>
      </c>
      <c r="G716" t="s">
        <v>19</v>
      </c>
      <c r="H716">
        <v>6</v>
      </c>
      <c r="I716">
        <v>366.79</v>
      </c>
      <c r="J716" s="13">
        <v>0</v>
      </c>
      <c r="K716">
        <v>2200.7399999999998</v>
      </c>
      <c r="L716">
        <v>1515.93</v>
      </c>
      <c r="M716">
        <v>684.81</v>
      </c>
      <c r="N716" t="s">
        <v>102</v>
      </c>
    </row>
    <row r="717" spans="1:14" x14ac:dyDescent="0.3">
      <c r="A717" t="s">
        <v>771</v>
      </c>
      <c r="B717" s="1">
        <v>45992</v>
      </c>
      <c r="C717" t="s">
        <v>30</v>
      </c>
      <c r="D717" t="s">
        <v>23</v>
      </c>
      <c r="E717" t="s">
        <v>24</v>
      </c>
      <c r="F717" t="s">
        <v>18</v>
      </c>
      <c r="G717" t="s">
        <v>33</v>
      </c>
      <c r="H717">
        <v>1</v>
      </c>
      <c r="I717">
        <v>49.62</v>
      </c>
      <c r="J717" s="13">
        <v>0.05</v>
      </c>
      <c r="K717">
        <v>47.14</v>
      </c>
      <c r="L717">
        <v>37.630000000000003</v>
      </c>
      <c r="M717">
        <v>9.51</v>
      </c>
      <c r="N717" t="s">
        <v>70</v>
      </c>
    </row>
    <row r="718" spans="1:14" x14ac:dyDescent="0.3">
      <c r="A718" t="s">
        <v>772</v>
      </c>
      <c r="B718" s="1">
        <v>45996</v>
      </c>
      <c r="C718" t="s">
        <v>36</v>
      </c>
      <c r="D718" t="s">
        <v>41</v>
      </c>
      <c r="E718" t="s">
        <v>17</v>
      </c>
      <c r="F718" t="s">
        <v>18</v>
      </c>
      <c r="G718" t="s">
        <v>37</v>
      </c>
      <c r="H718">
        <v>4</v>
      </c>
      <c r="I718">
        <v>148.47</v>
      </c>
      <c r="J718" s="13">
        <v>0.1</v>
      </c>
      <c r="K718">
        <v>534.48</v>
      </c>
      <c r="L718">
        <v>370.04</v>
      </c>
      <c r="M718">
        <v>164.44</v>
      </c>
      <c r="N718" t="s">
        <v>70</v>
      </c>
    </row>
    <row r="719" spans="1:14" x14ac:dyDescent="0.3">
      <c r="A719" t="s">
        <v>773</v>
      </c>
      <c r="B719" s="1">
        <v>45878</v>
      </c>
      <c r="C719" t="s">
        <v>48</v>
      </c>
      <c r="D719" t="s">
        <v>16</v>
      </c>
      <c r="E719" t="s">
        <v>24</v>
      </c>
      <c r="F719" t="s">
        <v>32</v>
      </c>
      <c r="G719" t="s">
        <v>37</v>
      </c>
      <c r="H719">
        <v>8</v>
      </c>
      <c r="I719">
        <v>340.06</v>
      </c>
      <c r="J719" s="13">
        <v>0</v>
      </c>
      <c r="K719">
        <v>2720.48</v>
      </c>
      <c r="L719">
        <v>1742.77</v>
      </c>
      <c r="M719">
        <v>977.71</v>
      </c>
      <c r="N719" t="s">
        <v>20</v>
      </c>
    </row>
    <row r="720" spans="1:14" x14ac:dyDescent="0.3">
      <c r="A720" t="s">
        <v>774</v>
      </c>
      <c r="B720" s="1">
        <v>46010</v>
      </c>
      <c r="C720" t="s">
        <v>104</v>
      </c>
      <c r="D720" t="s">
        <v>16</v>
      </c>
      <c r="E720" t="s">
        <v>44</v>
      </c>
      <c r="F720" t="s">
        <v>18</v>
      </c>
      <c r="G720" t="s">
        <v>56</v>
      </c>
      <c r="H720">
        <v>7</v>
      </c>
      <c r="I720">
        <v>101.38</v>
      </c>
      <c r="J720" s="13">
        <v>0.1</v>
      </c>
      <c r="K720">
        <v>638.66</v>
      </c>
      <c r="L720">
        <v>499.85</v>
      </c>
      <c r="M720">
        <v>138.81</v>
      </c>
      <c r="N720" t="s">
        <v>70</v>
      </c>
    </row>
    <row r="721" spans="1:14" x14ac:dyDescent="0.3">
      <c r="A721" t="s">
        <v>775</v>
      </c>
      <c r="B721" s="1">
        <v>45854</v>
      </c>
      <c r="C721" t="s">
        <v>36</v>
      </c>
      <c r="D721" t="s">
        <v>31</v>
      </c>
      <c r="E721" t="s">
        <v>24</v>
      </c>
      <c r="F721" t="s">
        <v>32</v>
      </c>
      <c r="G721" t="s">
        <v>37</v>
      </c>
      <c r="H721">
        <v>4</v>
      </c>
      <c r="I721">
        <v>152.6</v>
      </c>
      <c r="J721" s="13">
        <v>0</v>
      </c>
      <c r="K721">
        <v>610.41</v>
      </c>
      <c r="L721">
        <v>423.48</v>
      </c>
      <c r="M721">
        <v>186.93</v>
      </c>
      <c r="N721" t="s">
        <v>26</v>
      </c>
    </row>
    <row r="722" spans="1:14" x14ac:dyDescent="0.3">
      <c r="A722" t="s">
        <v>776</v>
      </c>
      <c r="B722" s="1">
        <v>45899</v>
      </c>
      <c r="C722" t="s">
        <v>59</v>
      </c>
      <c r="D722" t="s">
        <v>31</v>
      </c>
      <c r="E722" t="s">
        <v>24</v>
      </c>
      <c r="F722" t="s">
        <v>45</v>
      </c>
      <c r="G722" t="s">
        <v>25</v>
      </c>
      <c r="H722">
        <v>7</v>
      </c>
      <c r="I722">
        <v>33.57</v>
      </c>
      <c r="J722" s="13">
        <v>0.05</v>
      </c>
      <c r="K722">
        <v>223.21</v>
      </c>
      <c r="L722">
        <v>182.92</v>
      </c>
      <c r="M722">
        <v>40.29</v>
      </c>
      <c r="N722" t="s">
        <v>20</v>
      </c>
    </row>
    <row r="723" spans="1:14" x14ac:dyDescent="0.3">
      <c r="A723" t="s">
        <v>777</v>
      </c>
      <c r="B723" s="1">
        <v>45706</v>
      </c>
      <c r="C723" t="s">
        <v>22</v>
      </c>
      <c r="D723" t="s">
        <v>41</v>
      </c>
      <c r="E723" t="s">
        <v>24</v>
      </c>
      <c r="F723" t="s">
        <v>18</v>
      </c>
      <c r="G723" t="s">
        <v>79</v>
      </c>
      <c r="H723">
        <v>4</v>
      </c>
      <c r="I723">
        <v>81.8</v>
      </c>
      <c r="J723" s="13">
        <v>0.03</v>
      </c>
      <c r="K723">
        <v>317.37</v>
      </c>
      <c r="L723">
        <v>221.52</v>
      </c>
      <c r="M723">
        <v>95.85</v>
      </c>
      <c r="N723" t="s">
        <v>102</v>
      </c>
    </row>
    <row r="724" spans="1:14" x14ac:dyDescent="0.3">
      <c r="A724" t="s">
        <v>778</v>
      </c>
      <c r="B724" s="1">
        <v>45965</v>
      </c>
      <c r="C724" t="s">
        <v>28</v>
      </c>
      <c r="D724" t="s">
        <v>41</v>
      </c>
      <c r="E724" t="s">
        <v>24</v>
      </c>
      <c r="F724" t="s">
        <v>18</v>
      </c>
      <c r="G724" t="s">
        <v>33</v>
      </c>
      <c r="H724">
        <v>3</v>
      </c>
      <c r="I724">
        <v>923.94</v>
      </c>
      <c r="J724" s="13">
        <v>0.1</v>
      </c>
      <c r="K724">
        <v>2494.65</v>
      </c>
      <c r="L724">
        <v>2100.3000000000002</v>
      </c>
      <c r="M724">
        <v>394.35</v>
      </c>
      <c r="N724" t="s">
        <v>60</v>
      </c>
    </row>
    <row r="725" spans="1:14" x14ac:dyDescent="0.3">
      <c r="A725" t="s">
        <v>779</v>
      </c>
      <c r="B725" s="1">
        <v>45772</v>
      </c>
      <c r="C725" t="s">
        <v>30</v>
      </c>
      <c r="D725" t="s">
        <v>31</v>
      </c>
      <c r="E725" t="s">
        <v>24</v>
      </c>
      <c r="F725" t="s">
        <v>18</v>
      </c>
      <c r="G725" t="s">
        <v>46</v>
      </c>
      <c r="H725">
        <v>2</v>
      </c>
      <c r="I725">
        <v>55.68</v>
      </c>
      <c r="J725" s="13">
        <v>0</v>
      </c>
      <c r="K725">
        <v>111.36</v>
      </c>
      <c r="L725">
        <v>79.849999999999994</v>
      </c>
      <c r="M725">
        <v>31.51</v>
      </c>
      <c r="N725" t="s">
        <v>63</v>
      </c>
    </row>
    <row r="726" spans="1:14" x14ac:dyDescent="0.3">
      <c r="A726" t="s">
        <v>780</v>
      </c>
      <c r="B726" s="1">
        <v>45834</v>
      </c>
      <c r="C726" t="s">
        <v>28</v>
      </c>
      <c r="D726" t="s">
        <v>31</v>
      </c>
      <c r="E726" t="s">
        <v>44</v>
      </c>
      <c r="F726" t="s">
        <v>18</v>
      </c>
      <c r="G726" t="s">
        <v>33</v>
      </c>
      <c r="H726">
        <v>7</v>
      </c>
      <c r="I726">
        <v>891.73</v>
      </c>
      <c r="J726" s="13">
        <v>0.03</v>
      </c>
      <c r="K726">
        <v>6054.88</v>
      </c>
      <c r="L726">
        <v>4203.0600000000004</v>
      </c>
      <c r="M726">
        <v>1851.82</v>
      </c>
      <c r="N726" t="s">
        <v>76</v>
      </c>
    </row>
    <row r="727" spans="1:14" x14ac:dyDescent="0.3">
      <c r="A727" t="s">
        <v>781</v>
      </c>
      <c r="B727" s="1">
        <v>45910</v>
      </c>
      <c r="C727" t="s">
        <v>104</v>
      </c>
      <c r="D727" t="s">
        <v>41</v>
      </c>
      <c r="E727" t="s">
        <v>17</v>
      </c>
      <c r="F727" t="s">
        <v>18</v>
      </c>
      <c r="G727" t="s">
        <v>33</v>
      </c>
      <c r="H727">
        <v>4</v>
      </c>
      <c r="I727">
        <v>90.12</v>
      </c>
      <c r="J727" s="13">
        <v>0</v>
      </c>
      <c r="K727">
        <v>360.48</v>
      </c>
      <c r="L727">
        <v>222.77</v>
      </c>
      <c r="M727">
        <v>137.71</v>
      </c>
      <c r="N727" t="s">
        <v>38</v>
      </c>
    </row>
    <row r="728" spans="1:14" x14ac:dyDescent="0.3">
      <c r="A728" t="s">
        <v>782</v>
      </c>
      <c r="B728" s="1">
        <v>45988</v>
      </c>
      <c r="C728" t="s">
        <v>40</v>
      </c>
      <c r="D728" t="s">
        <v>23</v>
      </c>
      <c r="E728" t="s">
        <v>17</v>
      </c>
      <c r="F728" t="s">
        <v>45</v>
      </c>
      <c r="G728" t="s">
        <v>79</v>
      </c>
      <c r="H728">
        <v>2</v>
      </c>
      <c r="I728">
        <v>117.14</v>
      </c>
      <c r="J728" s="13">
        <v>0</v>
      </c>
      <c r="K728">
        <v>234.28</v>
      </c>
      <c r="L728">
        <v>148.69999999999999</v>
      </c>
      <c r="M728">
        <v>85.58</v>
      </c>
      <c r="N728" t="s">
        <v>60</v>
      </c>
    </row>
    <row r="729" spans="1:14" x14ac:dyDescent="0.3">
      <c r="A729" t="s">
        <v>783</v>
      </c>
      <c r="B729" s="1">
        <v>45747</v>
      </c>
      <c r="C729" t="s">
        <v>69</v>
      </c>
      <c r="D729" t="s">
        <v>23</v>
      </c>
      <c r="E729" t="s">
        <v>44</v>
      </c>
      <c r="F729" t="s">
        <v>32</v>
      </c>
      <c r="G729" t="s">
        <v>56</v>
      </c>
      <c r="H729">
        <v>1</v>
      </c>
      <c r="I729">
        <v>252.57</v>
      </c>
      <c r="J729" s="13">
        <v>0.1</v>
      </c>
      <c r="K729">
        <v>227.31</v>
      </c>
      <c r="L729">
        <v>169.06</v>
      </c>
      <c r="M729">
        <v>58.25</v>
      </c>
      <c r="N729" t="s">
        <v>53</v>
      </c>
    </row>
    <row r="730" spans="1:14" x14ac:dyDescent="0.3">
      <c r="A730" t="s">
        <v>784</v>
      </c>
      <c r="B730" s="1">
        <v>45750</v>
      </c>
      <c r="C730" t="s">
        <v>22</v>
      </c>
      <c r="D730" t="s">
        <v>41</v>
      </c>
      <c r="E730" t="s">
        <v>17</v>
      </c>
      <c r="F730" t="s">
        <v>18</v>
      </c>
      <c r="G730" t="s">
        <v>46</v>
      </c>
      <c r="H730">
        <v>2</v>
      </c>
      <c r="I730">
        <v>77.599999999999994</v>
      </c>
      <c r="J730" s="13">
        <v>0</v>
      </c>
      <c r="K730">
        <v>155.21</v>
      </c>
      <c r="L730">
        <v>104.6</v>
      </c>
      <c r="M730">
        <v>50.61</v>
      </c>
      <c r="N730" t="s">
        <v>63</v>
      </c>
    </row>
    <row r="731" spans="1:14" x14ac:dyDescent="0.3">
      <c r="A731" t="s">
        <v>785</v>
      </c>
      <c r="B731" s="1">
        <v>45881</v>
      </c>
      <c r="C731" t="s">
        <v>104</v>
      </c>
      <c r="D731" t="s">
        <v>23</v>
      </c>
      <c r="E731" t="s">
        <v>17</v>
      </c>
      <c r="F731" t="s">
        <v>18</v>
      </c>
      <c r="G731" t="s">
        <v>46</v>
      </c>
      <c r="H731">
        <v>6</v>
      </c>
      <c r="I731">
        <v>86.64</v>
      </c>
      <c r="J731" s="13">
        <v>0.05</v>
      </c>
      <c r="K731">
        <v>493.86</v>
      </c>
      <c r="L731">
        <v>321.55</v>
      </c>
      <c r="M731">
        <v>172.31</v>
      </c>
      <c r="N731" t="s">
        <v>20</v>
      </c>
    </row>
    <row r="732" spans="1:14" x14ac:dyDescent="0.3">
      <c r="A732" t="s">
        <v>786</v>
      </c>
      <c r="B732" s="1">
        <v>45813</v>
      </c>
      <c r="C732" t="s">
        <v>22</v>
      </c>
      <c r="D732" t="s">
        <v>16</v>
      </c>
      <c r="E732" t="s">
        <v>24</v>
      </c>
      <c r="F732" t="s">
        <v>18</v>
      </c>
      <c r="G732" t="s">
        <v>46</v>
      </c>
      <c r="H732">
        <v>7</v>
      </c>
      <c r="I732">
        <v>90.57</v>
      </c>
      <c r="J732" s="13">
        <v>0.1</v>
      </c>
      <c r="K732">
        <v>570.59</v>
      </c>
      <c r="L732">
        <v>443.86</v>
      </c>
      <c r="M732">
        <v>126.73</v>
      </c>
      <c r="N732" t="s">
        <v>76</v>
      </c>
    </row>
    <row r="733" spans="1:14" x14ac:dyDescent="0.3">
      <c r="A733" t="s">
        <v>787</v>
      </c>
      <c r="B733" s="1">
        <v>45743</v>
      </c>
      <c r="C733" t="s">
        <v>22</v>
      </c>
      <c r="D733" t="s">
        <v>41</v>
      </c>
      <c r="E733" t="s">
        <v>17</v>
      </c>
      <c r="F733" t="s">
        <v>45</v>
      </c>
      <c r="G733" t="s">
        <v>50</v>
      </c>
      <c r="H733">
        <v>8</v>
      </c>
      <c r="I733">
        <v>85.14</v>
      </c>
      <c r="J733" s="13">
        <v>0.03</v>
      </c>
      <c r="K733">
        <v>660.7</v>
      </c>
      <c r="L733">
        <v>508.56</v>
      </c>
      <c r="M733">
        <v>152.13999999999999</v>
      </c>
      <c r="N733" t="s">
        <v>53</v>
      </c>
    </row>
    <row r="734" spans="1:14" x14ac:dyDescent="0.3">
      <c r="A734" t="s">
        <v>788</v>
      </c>
      <c r="B734" s="1">
        <v>46019</v>
      </c>
      <c r="C734" t="s">
        <v>22</v>
      </c>
      <c r="D734" t="s">
        <v>31</v>
      </c>
      <c r="E734" t="s">
        <v>17</v>
      </c>
      <c r="F734" t="s">
        <v>32</v>
      </c>
      <c r="G734" t="s">
        <v>56</v>
      </c>
      <c r="H734">
        <v>2</v>
      </c>
      <c r="I734">
        <v>93.34</v>
      </c>
      <c r="J734" s="13">
        <v>0.05</v>
      </c>
      <c r="K734">
        <v>177.35</v>
      </c>
      <c r="L734">
        <v>120.58</v>
      </c>
      <c r="M734">
        <v>56.77</v>
      </c>
      <c r="N734" t="s">
        <v>70</v>
      </c>
    </row>
    <row r="735" spans="1:14" x14ac:dyDescent="0.3">
      <c r="A735" t="s">
        <v>789</v>
      </c>
      <c r="B735" s="1">
        <v>45695</v>
      </c>
      <c r="C735" t="s">
        <v>36</v>
      </c>
      <c r="D735" t="s">
        <v>31</v>
      </c>
      <c r="E735" t="s">
        <v>24</v>
      </c>
      <c r="F735" t="s">
        <v>45</v>
      </c>
      <c r="G735" t="s">
        <v>46</v>
      </c>
      <c r="H735">
        <v>4</v>
      </c>
      <c r="I735">
        <v>158.35</v>
      </c>
      <c r="J735" s="13">
        <v>0.05</v>
      </c>
      <c r="K735">
        <v>601.72</v>
      </c>
      <c r="L735">
        <v>370.35</v>
      </c>
      <c r="M735">
        <v>231.37</v>
      </c>
      <c r="N735" t="s">
        <v>102</v>
      </c>
    </row>
    <row r="736" spans="1:14" x14ac:dyDescent="0.3">
      <c r="A736" t="s">
        <v>790</v>
      </c>
      <c r="B736" s="1">
        <v>45753</v>
      </c>
      <c r="C736" t="s">
        <v>59</v>
      </c>
      <c r="D736" t="s">
        <v>31</v>
      </c>
      <c r="E736" t="s">
        <v>17</v>
      </c>
      <c r="F736" t="s">
        <v>45</v>
      </c>
      <c r="G736" t="s">
        <v>25</v>
      </c>
      <c r="H736">
        <v>2</v>
      </c>
      <c r="I736">
        <v>34.28</v>
      </c>
      <c r="J736" s="13">
        <v>0</v>
      </c>
      <c r="K736">
        <v>68.56</v>
      </c>
      <c r="L736">
        <v>45.59</v>
      </c>
      <c r="M736">
        <v>22.97</v>
      </c>
      <c r="N736" t="s">
        <v>63</v>
      </c>
    </row>
    <row r="737" spans="1:14" x14ac:dyDescent="0.3">
      <c r="A737" t="s">
        <v>791</v>
      </c>
      <c r="B737" s="1">
        <v>45975</v>
      </c>
      <c r="C737" t="s">
        <v>43</v>
      </c>
      <c r="D737" t="s">
        <v>31</v>
      </c>
      <c r="E737" t="s">
        <v>44</v>
      </c>
      <c r="F737" t="s">
        <v>45</v>
      </c>
      <c r="G737" t="s">
        <v>19</v>
      </c>
      <c r="H737">
        <v>1</v>
      </c>
      <c r="I737">
        <v>615.69000000000005</v>
      </c>
      <c r="J737" s="13">
        <v>0.03</v>
      </c>
      <c r="K737">
        <v>597.22</v>
      </c>
      <c r="L737">
        <v>410.8</v>
      </c>
      <c r="M737">
        <v>186.42</v>
      </c>
      <c r="N737" t="s">
        <v>60</v>
      </c>
    </row>
    <row r="738" spans="1:14" x14ac:dyDescent="0.3">
      <c r="A738" t="s">
        <v>792</v>
      </c>
      <c r="B738" s="1">
        <v>45749</v>
      </c>
      <c r="C738" t="s">
        <v>104</v>
      </c>
      <c r="D738" t="s">
        <v>41</v>
      </c>
      <c r="E738" t="s">
        <v>17</v>
      </c>
      <c r="F738" t="s">
        <v>45</v>
      </c>
      <c r="G738" t="s">
        <v>50</v>
      </c>
      <c r="H738">
        <v>4</v>
      </c>
      <c r="I738">
        <v>88.94</v>
      </c>
      <c r="J738" s="13">
        <v>0.03</v>
      </c>
      <c r="K738">
        <v>345.07</v>
      </c>
      <c r="L738">
        <v>241.25</v>
      </c>
      <c r="M738">
        <v>103.82</v>
      </c>
      <c r="N738" t="s">
        <v>63</v>
      </c>
    </row>
    <row r="739" spans="1:14" x14ac:dyDescent="0.3">
      <c r="A739" t="s">
        <v>793</v>
      </c>
      <c r="B739" s="1">
        <v>45933</v>
      </c>
      <c r="C739" t="s">
        <v>43</v>
      </c>
      <c r="D739" t="s">
        <v>16</v>
      </c>
      <c r="E739" t="s">
        <v>24</v>
      </c>
      <c r="F739" t="s">
        <v>18</v>
      </c>
      <c r="G739" t="s">
        <v>37</v>
      </c>
      <c r="H739">
        <v>4</v>
      </c>
      <c r="I739">
        <v>666.4</v>
      </c>
      <c r="J739" s="13">
        <v>0.05</v>
      </c>
      <c r="K739">
        <v>2532.31</v>
      </c>
      <c r="L739">
        <v>1680.6</v>
      </c>
      <c r="M739">
        <v>851.71</v>
      </c>
      <c r="N739" t="s">
        <v>51</v>
      </c>
    </row>
    <row r="740" spans="1:14" x14ac:dyDescent="0.3">
      <c r="A740" t="s">
        <v>794</v>
      </c>
      <c r="B740" s="1">
        <v>45770</v>
      </c>
      <c r="C740" t="s">
        <v>43</v>
      </c>
      <c r="D740" t="s">
        <v>41</v>
      </c>
      <c r="E740" t="s">
        <v>24</v>
      </c>
      <c r="F740" t="s">
        <v>32</v>
      </c>
      <c r="G740" t="s">
        <v>46</v>
      </c>
      <c r="H740">
        <v>1</v>
      </c>
      <c r="I740">
        <v>618.04</v>
      </c>
      <c r="J740" s="13">
        <v>0.05</v>
      </c>
      <c r="K740">
        <v>587.14</v>
      </c>
      <c r="L740">
        <v>462.43</v>
      </c>
      <c r="M740">
        <v>124.71</v>
      </c>
      <c r="N740" t="s">
        <v>63</v>
      </c>
    </row>
    <row r="741" spans="1:14" x14ac:dyDescent="0.3">
      <c r="A741" t="s">
        <v>795</v>
      </c>
      <c r="B741" s="1">
        <v>45785</v>
      </c>
      <c r="C741" t="s">
        <v>28</v>
      </c>
      <c r="D741" t="s">
        <v>23</v>
      </c>
      <c r="E741" t="s">
        <v>44</v>
      </c>
      <c r="F741" t="s">
        <v>32</v>
      </c>
      <c r="G741" t="s">
        <v>79</v>
      </c>
      <c r="H741">
        <v>1</v>
      </c>
      <c r="I741">
        <v>992.03</v>
      </c>
      <c r="J741" s="13">
        <v>0.05</v>
      </c>
      <c r="K741">
        <v>942.43</v>
      </c>
      <c r="L741">
        <v>770.19</v>
      </c>
      <c r="M741">
        <v>172.24</v>
      </c>
      <c r="N741" t="s">
        <v>72</v>
      </c>
    </row>
    <row r="742" spans="1:14" x14ac:dyDescent="0.3">
      <c r="A742" t="s">
        <v>796</v>
      </c>
      <c r="B742" s="1">
        <v>45885</v>
      </c>
      <c r="C742" t="s">
        <v>67</v>
      </c>
      <c r="D742" t="s">
        <v>16</v>
      </c>
      <c r="E742" t="s">
        <v>17</v>
      </c>
      <c r="F742" t="s">
        <v>45</v>
      </c>
      <c r="G742" t="s">
        <v>25</v>
      </c>
      <c r="H742">
        <v>3</v>
      </c>
      <c r="I742">
        <v>173.1</v>
      </c>
      <c r="J742" s="13">
        <v>0</v>
      </c>
      <c r="K742">
        <v>519.30999999999995</v>
      </c>
      <c r="L742">
        <v>398.21</v>
      </c>
      <c r="M742">
        <v>121.1</v>
      </c>
      <c r="N742" t="s">
        <v>20</v>
      </c>
    </row>
    <row r="743" spans="1:14" x14ac:dyDescent="0.3">
      <c r="A743" t="s">
        <v>797</v>
      </c>
      <c r="B743" s="1">
        <v>46017</v>
      </c>
      <c r="C743" t="s">
        <v>67</v>
      </c>
      <c r="D743" t="s">
        <v>41</v>
      </c>
      <c r="E743" t="s">
        <v>17</v>
      </c>
      <c r="F743" t="s">
        <v>45</v>
      </c>
      <c r="G743" t="s">
        <v>79</v>
      </c>
      <c r="H743">
        <v>3</v>
      </c>
      <c r="I743">
        <v>191.79</v>
      </c>
      <c r="J743" s="13">
        <v>0.1</v>
      </c>
      <c r="K743">
        <v>517.83000000000004</v>
      </c>
      <c r="L743">
        <v>405.29</v>
      </c>
      <c r="M743">
        <v>112.54</v>
      </c>
      <c r="N743" t="s">
        <v>70</v>
      </c>
    </row>
    <row r="744" spans="1:14" x14ac:dyDescent="0.3">
      <c r="A744" t="s">
        <v>798</v>
      </c>
      <c r="B744" s="1">
        <v>45837</v>
      </c>
      <c r="C744" t="s">
        <v>104</v>
      </c>
      <c r="D744" t="s">
        <v>23</v>
      </c>
      <c r="E744" t="s">
        <v>44</v>
      </c>
      <c r="F744" t="s">
        <v>18</v>
      </c>
      <c r="G744" t="s">
        <v>50</v>
      </c>
      <c r="H744">
        <v>1</v>
      </c>
      <c r="I744">
        <v>97.33</v>
      </c>
      <c r="J744" s="13">
        <v>0</v>
      </c>
      <c r="K744">
        <v>97.33</v>
      </c>
      <c r="L744">
        <v>66.010000000000005</v>
      </c>
      <c r="M744">
        <v>31.32</v>
      </c>
      <c r="N744" t="s">
        <v>76</v>
      </c>
    </row>
    <row r="745" spans="1:14" x14ac:dyDescent="0.3">
      <c r="A745" t="s">
        <v>799</v>
      </c>
      <c r="B745" s="1">
        <v>45950</v>
      </c>
      <c r="C745" t="s">
        <v>40</v>
      </c>
      <c r="D745" t="s">
        <v>23</v>
      </c>
      <c r="E745" t="s">
        <v>24</v>
      </c>
      <c r="F745" t="s">
        <v>18</v>
      </c>
      <c r="G745" t="s">
        <v>46</v>
      </c>
      <c r="H745">
        <v>2</v>
      </c>
      <c r="I745">
        <v>105.58</v>
      </c>
      <c r="J745" s="13">
        <v>0</v>
      </c>
      <c r="K745">
        <v>211.15</v>
      </c>
      <c r="L745">
        <v>163.26</v>
      </c>
      <c r="M745">
        <v>47.89</v>
      </c>
      <c r="N745" t="s">
        <v>51</v>
      </c>
    </row>
    <row r="746" spans="1:14" x14ac:dyDescent="0.3">
      <c r="A746" t="s">
        <v>800</v>
      </c>
      <c r="B746" s="1">
        <v>45986</v>
      </c>
      <c r="C746" t="s">
        <v>36</v>
      </c>
      <c r="D746" t="s">
        <v>23</v>
      </c>
      <c r="E746" t="s">
        <v>17</v>
      </c>
      <c r="F746" t="s">
        <v>18</v>
      </c>
      <c r="G746" t="s">
        <v>33</v>
      </c>
      <c r="H746">
        <v>3</v>
      </c>
      <c r="I746">
        <v>158.43</v>
      </c>
      <c r="J746" s="13">
        <v>0.15</v>
      </c>
      <c r="K746">
        <v>403.99</v>
      </c>
      <c r="L746">
        <v>355.61</v>
      </c>
      <c r="M746">
        <v>48.38</v>
      </c>
      <c r="N746" t="s">
        <v>60</v>
      </c>
    </row>
    <row r="747" spans="1:14" x14ac:dyDescent="0.3">
      <c r="A747" t="s">
        <v>801</v>
      </c>
      <c r="B747" s="1">
        <v>45947</v>
      </c>
      <c r="C747" t="s">
        <v>43</v>
      </c>
      <c r="D747" t="s">
        <v>16</v>
      </c>
      <c r="E747" t="s">
        <v>24</v>
      </c>
      <c r="F747" t="s">
        <v>32</v>
      </c>
      <c r="G747" t="s">
        <v>25</v>
      </c>
      <c r="H747">
        <v>4</v>
      </c>
      <c r="I747">
        <v>663.96</v>
      </c>
      <c r="J747" s="13">
        <v>0</v>
      </c>
      <c r="K747">
        <v>2655.84</v>
      </c>
      <c r="L747">
        <v>1956.21</v>
      </c>
      <c r="M747">
        <v>699.63</v>
      </c>
      <c r="N747" t="s">
        <v>51</v>
      </c>
    </row>
    <row r="748" spans="1:14" x14ac:dyDescent="0.3">
      <c r="A748" t="s">
        <v>802</v>
      </c>
      <c r="B748" s="1">
        <v>45988</v>
      </c>
      <c r="C748" t="s">
        <v>48</v>
      </c>
      <c r="D748" t="s">
        <v>31</v>
      </c>
      <c r="E748" t="s">
        <v>17</v>
      </c>
      <c r="F748" t="s">
        <v>18</v>
      </c>
      <c r="G748" t="s">
        <v>56</v>
      </c>
      <c r="H748">
        <v>8</v>
      </c>
      <c r="I748">
        <v>355.45</v>
      </c>
      <c r="J748" s="13">
        <v>0</v>
      </c>
      <c r="K748">
        <v>2843.58</v>
      </c>
      <c r="L748">
        <v>1777.61</v>
      </c>
      <c r="M748">
        <v>1065.97</v>
      </c>
      <c r="N748" t="s">
        <v>60</v>
      </c>
    </row>
    <row r="749" spans="1:14" x14ac:dyDescent="0.3">
      <c r="A749" t="s">
        <v>803</v>
      </c>
      <c r="B749" s="1">
        <v>45886</v>
      </c>
      <c r="C749" t="s">
        <v>48</v>
      </c>
      <c r="D749" t="s">
        <v>41</v>
      </c>
      <c r="E749" t="s">
        <v>24</v>
      </c>
      <c r="F749" t="s">
        <v>18</v>
      </c>
      <c r="G749" t="s">
        <v>25</v>
      </c>
      <c r="H749">
        <v>4</v>
      </c>
      <c r="I749">
        <v>355.62</v>
      </c>
      <c r="J749" s="13">
        <v>0</v>
      </c>
      <c r="K749">
        <v>1422.5</v>
      </c>
      <c r="L749">
        <v>927.32</v>
      </c>
      <c r="M749">
        <v>495.18</v>
      </c>
      <c r="N749" t="s">
        <v>20</v>
      </c>
    </row>
    <row r="750" spans="1:14" x14ac:dyDescent="0.3">
      <c r="A750" t="s">
        <v>804</v>
      </c>
      <c r="B750" s="1">
        <v>46016</v>
      </c>
      <c r="C750" t="s">
        <v>28</v>
      </c>
      <c r="D750" t="s">
        <v>41</v>
      </c>
      <c r="E750" t="s">
        <v>17</v>
      </c>
      <c r="F750" t="s">
        <v>18</v>
      </c>
      <c r="G750" t="s">
        <v>50</v>
      </c>
      <c r="H750">
        <v>2</v>
      </c>
      <c r="I750">
        <v>869.33</v>
      </c>
      <c r="J750" s="13">
        <v>0.05</v>
      </c>
      <c r="K750">
        <v>1651.72</v>
      </c>
      <c r="L750">
        <v>1317.3</v>
      </c>
      <c r="M750">
        <v>334.42</v>
      </c>
      <c r="N750" t="s">
        <v>70</v>
      </c>
    </row>
    <row r="751" spans="1:14" x14ac:dyDescent="0.3">
      <c r="A751" t="s">
        <v>805</v>
      </c>
      <c r="B751" s="1">
        <v>45850</v>
      </c>
      <c r="C751" t="s">
        <v>36</v>
      </c>
      <c r="D751" t="s">
        <v>16</v>
      </c>
      <c r="E751" t="s">
        <v>24</v>
      </c>
      <c r="F751" t="s">
        <v>45</v>
      </c>
      <c r="G751" t="s">
        <v>79</v>
      </c>
      <c r="H751">
        <v>3</v>
      </c>
      <c r="I751">
        <v>140.26</v>
      </c>
      <c r="J751" s="13">
        <v>0.15</v>
      </c>
      <c r="K751">
        <v>357.65</v>
      </c>
      <c r="L751">
        <v>302.64999999999998</v>
      </c>
      <c r="M751">
        <v>55</v>
      </c>
      <c r="N751" t="s">
        <v>26</v>
      </c>
    </row>
    <row r="752" spans="1:14" x14ac:dyDescent="0.3">
      <c r="A752" t="s">
        <v>806</v>
      </c>
      <c r="B752" s="1">
        <v>45863</v>
      </c>
      <c r="C752" t="s">
        <v>59</v>
      </c>
      <c r="D752" t="s">
        <v>16</v>
      </c>
      <c r="E752" t="s">
        <v>24</v>
      </c>
      <c r="F752" t="s">
        <v>18</v>
      </c>
      <c r="G752" t="s">
        <v>56</v>
      </c>
      <c r="H752">
        <v>3</v>
      </c>
      <c r="I752">
        <v>32.14</v>
      </c>
      <c r="J752" s="13">
        <v>0</v>
      </c>
      <c r="K752">
        <v>96.42</v>
      </c>
      <c r="L752">
        <v>70.599999999999994</v>
      </c>
      <c r="M752">
        <v>25.82</v>
      </c>
      <c r="N752" t="s">
        <v>26</v>
      </c>
    </row>
    <row r="753" spans="1:14" x14ac:dyDescent="0.3">
      <c r="A753" t="s">
        <v>807</v>
      </c>
      <c r="B753" s="1">
        <v>45999</v>
      </c>
      <c r="C753" t="s">
        <v>59</v>
      </c>
      <c r="D753" t="s">
        <v>31</v>
      </c>
      <c r="E753" t="s">
        <v>24</v>
      </c>
      <c r="F753" t="s">
        <v>45</v>
      </c>
      <c r="G753" t="s">
        <v>56</v>
      </c>
      <c r="H753">
        <v>3</v>
      </c>
      <c r="I753">
        <v>34.44</v>
      </c>
      <c r="J753" s="13">
        <v>0.05</v>
      </c>
      <c r="K753">
        <v>98.16</v>
      </c>
      <c r="L753">
        <v>68.260000000000005</v>
      </c>
      <c r="M753">
        <v>29.9</v>
      </c>
      <c r="N753" t="s">
        <v>70</v>
      </c>
    </row>
    <row r="754" spans="1:14" x14ac:dyDescent="0.3">
      <c r="A754" t="s">
        <v>808</v>
      </c>
      <c r="B754" s="1">
        <v>45927</v>
      </c>
      <c r="C754" t="s">
        <v>36</v>
      </c>
      <c r="D754" t="s">
        <v>23</v>
      </c>
      <c r="E754" t="s">
        <v>44</v>
      </c>
      <c r="F754" t="s">
        <v>18</v>
      </c>
      <c r="G754" t="s">
        <v>19</v>
      </c>
      <c r="H754">
        <v>2</v>
      </c>
      <c r="I754">
        <v>141.71</v>
      </c>
      <c r="J754" s="13">
        <v>0.05</v>
      </c>
      <c r="K754">
        <v>269.24</v>
      </c>
      <c r="L754">
        <v>164.71</v>
      </c>
      <c r="M754">
        <v>104.53</v>
      </c>
      <c r="N754" t="s">
        <v>38</v>
      </c>
    </row>
    <row r="755" spans="1:14" x14ac:dyDescent="0.3">
      <c r="A755" t="s">
        <v>809</v>
      </c>
      <c r="B755" s="1">
        <v>45932</v>
      </c>
      <c r="C755" t="s">
        <v>67</v>
      </c>
      <c r="D755" t="s">
        <v>31</v>
      </c>
      <c r="E755" t="s">
        <v>44</v>
      </c>
      <c r="F755" t="s">
        <v>32</v>
      </c>
      <c r="G755" t="s">
        <v>37</v>
      </c>
      <c r="H755">
        <v>2</v>
      </c>
      <c r="I755">
        <v>173.28</v>
      </c>
      <c r="J755" s="13">
        <v>0.1</v>
      </c>
      <c r="K755">
        <v>311.89999999999998</v>
      </c>
      <c r="L755">
        <v>235.87</v>
      </c>
      <c r="M755">
        <v>76.03</v>
      </c>
      <c r="N755" t="s">
        <v>51</v>
      </c>
    </row>
    <row r="756" spans="1:14" x14ac:dyDescent="0.3">
      <c r="A756" t="s">
        <v>810</v>
      </c>
      <c r="B756" s="1">
        <v>45991</v>
      </c>
      <c r="C756" t="s">
        <v>40</v>
      </c>
      <c r="D756" t="s">
        <v>23</v>
      </c>
      <c r="E756" t="s">
        <v>17</v>
      </c>
      <c r="F756" t="s">
        <v>45</v>
      </c>
      <c r="G756" t="s">
        <v>50</v>
      </c>
      <c r="H756">
        <v>3</v>
      </c>
      <c r="I756">
        <v>108.03</v>
      </c>
      <c r="J756" s="13">
        <v>0</v>
      </c>
      <c r="K756">
        <v>324.08</v>
      </c>
      <c r="L756">
        <v>200.35</v>
      </c>
      <c r="M756">
        <v>123.73</v>
      </c>
      <c r="N756" t="s">
        <v>60</v>
      </c>
    </row>
    <row r="757" spans="1:14" x14ac:dyDescent="0.3">
      <c r="A757" t="s">
        <v>811</v>
      </c>
      <c r="B757" s="1">
        <v>45953</v>
      </c>
      <c r="C757" t="s">
        <v>22</v>
      </c>
      <c r="D757" t="s">
        <v>31</v>
      </c>
      <c r="E757" t="s">
        <v>17</v>
      </c>
      <c r="F757" t="s">
        <v>32</v>
      </c>
      <c r="G757" t="s">
        <v>19</v>
      </c>
      <c r="H757">
        <v>1</v>
      </c>
      <c r="I757">
        <v>81.13</v>
      </c>
      <c r="J757" s="13">
        <v>0.03</v>
      </c>
      <c r="K757">
        <v>78.7</v>
      </c>
      <c r="L757">
        <v>62</v>
      </c>
      <c r="M757">
        <v>16.7</v>
      </c>
      <c r="N757" t="s">
        <v>51</v>
      </c>
    </row>
    <row r="758" spans="1:14" x14ac:dyDescent="0.3">
      <c r="A758" t="s">
        <v>812</v>
      </c>
      <c r="B758" s="1">
        <v>45873</v>
      </c>
      <c r="C758" t="s">
        <v>67</v>
      </c>
      <c r="D758" t="s">
        <v>23</v>
      </c>
      <c r="E758" t="s">
        <v>24</v>
      </c>
      <c r="F758" t="s">
        <v>32</v>
      </c>
      <c r="G758" t="s">
        <v>37</v>
      </c>
      <c r="H758">
        <v>1</v>
      </c>
      <c r="I758">
        <v>190.88</v>
      </c>
      <c r="J758" s="13">
        <v>0</v>
      </c>
      <c r="K758">
        <v>190.88</v>
      </c>
      <c r="L758">
        <v>131.21</v>
      </c>
      <c r="M758">
        <v>59.67</v>
      </c>
      <c r="N758" t="s">
        <v>20</v>
      </c>
    </row>
    <row r="759" spans="1:14" x14ac:dyDescent="0.3">
      <c r="A759" t="s">
        <v>813</v>
      </c>
      <c r="B759" s="1">
        <v>45810</v>
      </c>
      <c r="C759" t="s">
        <v>40</v>
      </c>
      <c r="D759" t="s">
        <v>31</v>
      </c>
      <c r="E759" t="s">
        <v>24</v>
      </c>
      <c r="F759" t="s">
        <v>18</v>
      </c>
      <c r="G759" t="s">
        <v>19</v>
      </c>
      <c r="H759">
        <v>4</v>
      </c>
      <c r="I759">
        <v>100.26</v>
      </c>
      <c r="J759" s="13">
        <v>0.05</v>
      </c>
      <c r="K759">
        <v>380.97</v>
      </c>
      <c r="L759">
        <v>285.75</v>
      </c>
      <c r="M759">
        <v>95.22</v>
      </c>
      <c r="N759" t="s">
        <v>76</v>
      </c>
    </row>
    <row r="760" spans="1:14" x14ac:dyDescent="0.3">
      <c r="A760" t="s">
        <v>814</v>
      </c>
      <c r="B760" s="1">
        <v>45693</v>
      </c>
      <c r="C760" t="s">
        <v>69</v>
      </c>
      <c r="D760" t="s">
        <v>41</v>
      </c>
      <c r="E760" t="s">
        <v>44</v>
      </c>
      <c r="F760" t="s">
        <v>45</v>
      </c>
      <c r="G760" t="s">
        <v>37</v>
      </c>
      <c r="H760">
        <v>3</v>
      </c>
      <c r="I760">
        <v>274.76</v>
      </c>
      <c r="J760" s="13">
        <v>0.05</v>
      </c>
      <c r="K760">
        <v>783.06</v>
      </c>
      <c r="L760">
        <v>612.99</v>
      </c>
      <c r="M760">
        <v>170.07</v>
      </c>
      <c r="N760" t="s">
        <v>102</v>
      </c>
    </row>
    <row r="761" spans="1:14" x14ac:dyDescent="0.3">
      <c r="A761" t="s">
        <v>815</v>
      </c>
      <c r="B761" s="1">
        <v>45971</v>
      </c>
      <c r="C761" t="s">
        <v>22</v>
      </c>
      <c r="D761" t="s">
        <v>23</v>
      </c>
      <c r="E761" t="s">
        <v>24</v>
      </c>
      <c r="F761" t="s">
        <v>32</v>
      </c>
      <c r="G761" t="s">
        <v>46</v>
      </c>
      <c r="H761">
        <v>5</v>
      </c>
      <c r="I761">
        <v>83.95</v>
      </c>
      <c r="J761" s="13">
        <v>0.05</v>
      </c>
      <c r="K761">
        <v>398.75</v>
      </c>
      <c r="L761">
        <v>321.5</v>
      </c>
      <c r="M761">
        <v>77.25</v>
      </c>
      <c r="N761" t="s">
        <v>60</v>
      </c>
    </row>
    <row r="762" spans="1:14" x14ac:dyDescent="0.3">
      <c r="A762" t="s">
        <v>816</v>
      </c>
      <c r="B762" s="1">
        <v>45855</v>
      </c>
      <c r="C762" t="s">
        <v>30</v>
      </c>
      <c r="D762" t="s">
        <v>16</v>
      </c>
      <c r="E762" t="s">
        <v>24</v>
      </c>
      <c r="F762" t="s">
        <v>18</v>
      </c>
      <c r="G762" t="s">
        <v>56</v>
      </c>
      <c r="H762">
        <v>4</v>
      </c>
      <c r="I762">
        <v>53.98</v>
      </c>
      <c r="J762" s="13">
        <v>0</v>
      </c>
      <c r="K762">
        <v>215.91</v>
      </c>
      <c r="L762">
        <v>151.22</v>
      </c>
      <c r="M762">
        <v>64.69</v>
      </c>
      <c r="N762" t="s">
        <v>26</v>
      </c>
    </row>
    <row r="763" spans="1:14" x14ac:dyDescent="0.3">
      <c r="A763" t="s">
        <v>817</v>
      </c>
      <c r="B763" s="1">
        <v>45739</v>
      </c>
      <c r="C763" t="s">
        <v>48</v>
      </c>
      <c r="D763" t="s">
        <v>23</v>
      </c>
      <c r="E763" t="s">
        <v>24</v>
      </c>
      <c r="F763" t="s">
        <v>18</v>
      </c>
      <c r="G763" t="s">
        <v>33</v>
      </c>
      <c r="H763">
        <v>4</v>
      </c>
      <c r="I763">
        <v>366.95</v>
      </c>
      <c r="J763" s="13">
        <v>0.1</v>
      </c>
      <c r="K763">
        <v>1321</v>
      </c>
      <c r="L763">
        <v>877.37</v>
      </c>
      <c r="M763">
        <v>443.63</v>
      </c>
      <c r="N763" t="s">
        <v>53</v>
      </c>
    </row>
    <row r="764" spans="1:14" x14ac:dyDescent="0.3">
      <c r="A764" t="s">
        <v>818</v>
      </c>
      <c r="B764" s="1">
        <v>45947</v>
      </c>
      <c r="C764" t="s">
        <v>15</v>
      </c>
      <c r="D764" t="s">
        <v>23</v>
      </c>
      <c r="E764" t="s">
        <v>24</v>
      </c>
      <c r="F764" t="s">
        <v>18</v>
      </c>
      <c r="G764" t="s">
        <v>33</v>
      </c>
      <c r="H764">
        <v>2</v>
      </c>
      <c r="I764">
        <v>71.27</v>
      </c>
      <c r="J764" s="13">
        <v>0</v>
      </c>
      <c r="K764">
        <v>142.54</v>
      </c>
      <c r="L764">
        <v>91.11</v>
      </c>
      <c r="M764">
        <v>51.43</v>
      </c>
      <c r="N764" t="s">
        <v>51</v>
      </c>
    </row>
    <row r="765" spans="1:14" x14ac:dyDescent="0.3">
      <c r="A765" t="s">
        <v>819</v>
      </c>
      <c r="B765" s="1">
        <v>45786</v>
      </c>
      <c r="C765" t="s">
        <v>67</v>
      </c>
      <c r="D765" t="s">
        <v>41</v>
      </c>
      <c r="E765" t="s">
        <v>24</v>
      </c>
      <c r="F765" t="s">
        <v>45</v>
      </c>
      <c r="G765" t="s">
        <v>33</v>
      </c>
      <c r="H765">
        <v>1</v>
      </c>
      <c r="I765">
        <v>182.62</v>
      </c>
      <c r="J765" s="13">
        <v>0.1</v>
      </c>
      <c r="K765">
        <v>164.36</v>
      </c>
      <c r="L765">
        <v>120.33</v>
      </c>
      <c r="M765">
        <v>44.03</v>
      </c>
      <c r="N765" t="s">
        <v>72</v>
      </c>
    </row>
    <row r="766" spans="1:14" x14ac:dyDescent="0.3">
      <c r="A766" t="s">
        <v>820</v>
      </c>
      <c r="B766" s="1">
        <v>45809</v>
      </c>
      <c r="C766" t="s">
        <v>30</v>
      </c>
      <c r="D766" t="s">
        <v>41</v>
      </c>
      <c r="E766" t="s">
        <v>17</v>
      </c>
      <c r="F766" t="s">
        <v>18</v>
      </c>
      <c r="G766" t="s">
        <v>25</v>
      </c>
      <c r="H766">
        <v>1</v>
      </c>
      <c r="I766">
        <v>50.2</v>
      </c>
      <c r="J766" s="13">
        <v>0.1</v>
      </c>
      <c r="K766">
        <v>45.18</v>
      </c>
      <c r="L766">
        <v>35.479999999999997</v>
      </c>
      <c r="M766">
        <v>9.6999999999999993</v>
      </c>
      <c r="N766" t="s">
        <v>76</v>
      </c>
    </row>
    <row r="767" spans="1:14" x14ac:dyDescent="0.3">
      <c r="A767" t="s">
        <v>821</v>
      </c>
      <c r="B767" s="1">
        <v>45711</v>
      </c>
      <c r="C767" t="s">
        <v>48</v>
      </c>
      <c r="D767" t="s">
        <v>16</v>
      </c>
      <c r="E767" t="s">
        <v>24</v>
      </c>
      <c r="F767" t="s">
        <v>45</v>
      </c>
      <c r="G767" t="s">
        <v>79</v>
      </c>
      <c r="H767">
        <v>1</v>
      </c>
      <c r="I767">
        <v>357.16</v>
      </c>
      <c r="J767" s="13">
        <v>0.05</v>
      </c>
      <c r="K767">
        <v>339.3</v>
      </c>
      <c r="L767">
        <v>244.98</v>
      </c>
      <c r="M767">
        <v>94.32</v>
      </c>
      <c r="N767" t="s">
        <v>102</v>
      </c>
    </row>
    <row r="768" spans="1:14" x14ac:dyDescent="0.3">
      <c r="A768" t="s">
        <v>822</v>
      </c>
      <c r="B768" s="1">
        <v>45945</v>
      </c>
      <c r="C768" t="s">
        <v>28</v>
      </c>
      <c r="D768" t="s">
        <v>41</v>
      </c>
      <c r="E768" t="s">
        <v>17</v>
      </c>
      <c r="F768" t="s">
        <v>45</v>
      </c>
      <c r="G768" t="s">
        <v>19</v>
      </c>
      <c r="H768">
        <v>1</v>
      </c>
      <c r="I768">
        <v>1005.12</v>
      </c>
      <c r="J768" s="13">
        <v>0.05</v>
      </c>
      <c r="K768">
        <v>954.87</v>
      </c>
      <c r="L768">
        <v>744.44</v>
      </c>
      <c r="M768">
        <v>210.43</v>
      </c>
      <c r="N768" t="s">
        <v>51</v>
      </c>
    </row>
    <row r="769" spans="1:14" x14ac:dyDescent="0.3">
      <c r="A769" t="s">
        <v>823</v>
      </c>
      <c r="B769" s="1">
        <v>45748</v>
      </c>
      <c r="C769" t="s">
        <v>40</v>
      </c>
      <c r="D769" t="s">
        <v>31</v>
      </c>
      <c r="E769" t="s">
        <v>24</v>
      </c>
      <c r="F769" t="s">
        <v>32</v>
      </c>
      <c r="G769" t="s">
        <v>50</v>
      </c>
      <c r="H769">
        <v>2</v>
      </c>
      <c r="I769">
        <v>107.41</v>
      </c>
      <c r="J769" s="13">
        <v>0</v>
      </c>
      <c r="K769">
        <v>214.83</v>
      </c>
      <c r="L769">
        <v>124.77</v>
      </c>
      <c r="M769">
        <v>90.06</v>
      </c>
      <c r="N769" t="s">
        <v>63</v>
      </c>
    </row>
    <row r="770" spans="1:14" x14ac:dyDescent="0.3">
      <c r="A770" t="s">
        <v>824</v>
      </c>
      <c r="B770" s="1">
        <v>45762</v>
      </c>
      <c r="C770" t="s">
        <v>43</v>
      </c>
      <c r="D770" t="s">
        <v>23</v>
      </c>
      <c r="E770" t="s">
        <v>17</v>
      </c>
      <c r="F770" t="s">
        <v>45</v>
      </c>
      <c r="G770" t="s">
        <v>79</v>
      </c>
      <c r="H770">
        <v>4</v>
      </c>
      <c r="I770">
        <v>625.59</v>
      </c>
      <c r="J770" s="13">
        <v>0.1</v>
      </c>
      <c r="K770">
        <v>2252.13</v>
      </c>
      <c r="L770">
        <v>1500.69</v>
      </c>
      <c r="M770">
        <v>751.44</v>
      </c>
      <c r="N770" t="s">
        <v>63</v>
      </c>
    </row>
    <row r="771" spans="1:14" x14ac:dyDescent="0.3">
      <c r="A771" t="s">
        <v>825</v>
      </c>
      <c r="B771" s="1">
        <v>45929</v>
      </c>
      <c r="C771" t="s">
        <v>28</v>
      </c>
      <c r="D771" t="s">
        <v>31</v>
      </c>
      <c r="E771" t="s">
        <v>44</v>
      </c>
      <c r="F771" t="s">
        <v>32</v>
      </c>
      <c r="G771" t="s">
        <v>25</v>
      </c>
      <c r="H771">
        <v>4</v>
      </c>
      <c r="I771">
        <v>884.25</v>
      </c>
      <c r="J771" s="13">
        <v>0</v>
      </c>
      <c r="K771">
        <v>3537.01</v>
      </c>
      <c r="L771">
        <v>2382.96</v>
      </c>
      <c r="M771">
        <v>1154.05</v>
      </c>
      <c r="N771" t="s">
        <v>38</v>
      </c>
    </row>
    <row r="772" spans="1:14" x14ac:dyDescent="0.3">
      <c r="A772" t="s">
        <v>826</v>
      </c>
      <c r="B772" s="1">
        <v>45818</v>
      </c>
      <c r="C772" t="s">
        <v>15</v>
      </c>
      <c r="D772" t="s">
        <v>41</v>
      </c>
      <c r="E772" t="s">
        <v>44</v>
      </c>
      <c r="F772" t="s">
        <v>18</v>
      </c>
      <c r="G772" t="s">
        <v>37</v>
      </c>
      <c r="H772">
        <v>1</v>
      </c>
      <c r="I772">
        <v>76.44</v>
      </c>
      <c r="J772" s="13">
        <v>0.03</v>
      </c>
      <c r="K772">
        <v>74.150000000000006</v>
      </c>
      <c r="L772">
        <v>45.71</v>
      </c>
      <c r="M772">
        <v>28.44</v>
      </c>
      <c r="N772" t="s">
        <v>76</v>
      </c>
    </row>
    <row r="773" spans="1:14" x14ac:dyDescent="0.3">
      <c r="A773" t="s">
        <v>827</v>
      </c>
      <c r="B773" s="1">
        <v>45910</v>
      </c>
      <c r="C773" t="s">
        <v>28</v>
      </c>
      <c r="D773" t="s">
        <v>16</v>
      </c>
      <c r="E773" t="s">
        <v>24</v>
      </c>
      <c r="F773" t="s">
        <v>18</v>
      </c>
      <c r="G773" t="s">
        <v>37</v>
      </c>
      <c r="H773">
        <v>1</v>
      </c>
      <c r="I773">
        <v>934.16</v>
      </c>
      <c r="J773" s="13">
        <v>0.05</v>
      </c>
      <c r="K773">
        <v>887.45</v>
      </c>
      <c r="L773">
        <v>674.24</v>
      </c>
      <c r="M773">
        <v>213.21</v>
      </c>
      <c r="N773" t="s">
        <v>38</v>
      </c>
    </row>
    <row r="774" spans="1:14" x14ac:dyDescent="0.3">
      <c r="A774" t="s">
        <v>828</v>
      </c>
      <c r="B774" s="1">
        <v>45742</v>
      </c>
      <c r="C774" t="s">
        <v>69</v>
      </c>
      <c r="D774" t="s">
        <v>31</v>
      </c>
      <c r="E774" t="s">
        <v>24</v>
      </c>
      <c r="F774" t="s">
        <v>32</v>
      </c>
      <c r="G774" t="s">
        <v>50</v>
      </c>
      <c r="H774">
        <v>5</v>
      </c>
      <c r="I774">
        <v>283.93</v>
      </c>
      <c r="J774" s="13">
        <v>0.05</v>
      </c>
      <c r="K774">
        <v>1348.67</v>
      </c>
      <c r="L774">
        <v>1105.79</v>
      </c>
      <c r="M774">
        <v>242.88</v>
      </c>
      <c r="N774" t="s">
        <v>53</v>
      </c>
    </row>
    <row r="775" spans="1:14" x14ac:dyDescent="0.3">
      <c r="A775" t="s">
        <v>829</v>
      </c>
      <c r="B775" s="1">
        <v>45893</v>
      </c>
      <c r="C775" t="s">
        <v>22</v>
      </c>
      <c r="D775" t="s">
        <v>31</v>
      </c>
      <c r="E775" t="s">
        <v>24</v>
      </c>
      <c r="F775" t="s">
        <v>18</v>
      </c>
      <c r="G775" t="s">
        <v>37</v>
      </c>
      <c r="H775">
        <v>3</v>
      </c>
      <c r="I775">
        <v>78.44</v>
      </c>
      <c r="J775" s="13">
        <v>0.05</v>
      </c>
      <c r="K775">
        <v>223.56</v>
      </c>
      <c r="L775">
        <v>144.69</v>
      </c>
      <c r="M775">
        <v>78.87</v>
      </c>
      <c r="N775" t="s">
        <v>20</v>
      </c>
    </row>
    <row r="776" spans="1:14" x14ac:dyDescent="0.3">
      <c r="A776" t="s">
        <v>830</v>
      </c>
      <c r="B776" s="1">
        <v>45944</v>
      </c>
      <c r="C776" t="s">
        <v>43</v>
      </c>
      <c r="D776" t="s">
        <v>41</v>
      </c>
      <c r="E776" t="s">
        <v>17</v>
      </c>
      <c r="F776" t="s">
        <v>32</v>
      </c>
      <c r="G776" t="s">
        <v>25</v>
      </c>
      <c r="H776">
        <v>2</v>
      </c>
      <c r="I776">
        <v>593.57000000000005</v>
      </c>
      <c r="J776" s="13">
        <v>0</v>
      </c>
      <c r="K776">
        <v>1187.1400000000001</v>
      </c>
      <c r="L776">
        <v>727.49</v>
      </c>
      <c r="M776">
        <v>459.65</v>
      </c>
      <c r="N776" t="s">
        <v>51</v>
      </c>
    </row>
    <row r="777" spans="1:14" x14ac:dyDescent="0.3">
      <c r="A777" t="s">
        <v>831</v>
      </c>
      <c r="B777" s="1">
        <v>45853</v>
      </c>
      <c r="C777" t="s">
        <v>104</v>
      </c>
      <c r="D777" t="s">
        <v>41</v>
      </c>
      <c r="E777" t="s">
        <v>24</v>
      </c>
      <c r="F777" t="s">
        <v>45</v>
      </c>
      <c r="G777" t="s">
        <v>79</v>
      </c>
      <c r="H777">
        <v>2</v>
      </c>
      <c r="I777">
        <v>97.1</v>
      </c>
      <c r="J777" s="13">
        <v>0.03</v>
      </c>
      <c r="K777">
        <v>188.38</v>
      </c>
      <c r="L777">
        <v>132.5</v>
      </c>
      <c r="M777">
        <v>55.88</v>
      </c>
      <c r="N777" t="s">
        <v>26</v>
      </c>
    </row>
    <row r="778" spans="1:14" x14ac:dyDescent="0.3">
      <c r="A778" t="s">
        <v>832</v>
      </c>
      <c r="B778" s="1">
        <v>45914</v>
      </c>
      <c r="C778" t="s">
        <v>59</v>
      </c>
      <c r="D778" t="s">
        <v>16</v>
      </c>
      <c r="E778" t="s">
        <v>17</v>
      </c>
      <c r="F778" t="s">
        <v>45</v>
      </c>
      <c r="G778" t="s">
        <v>33</v>
      </c>
      <c r="H778">
        <v>2</v>
      </c>
      <c r="I778">
        <v>33.520000000000003</v>
      </c>
      <c r="J778" s="13">
        <v>0.15</v>
      </c>
      <c r="K778">
        <v>56.98</v>
      </c>
      <c r="L778">
        <v>39.61</v>
      </c>
      <c r="M778">
        <v>17.37</v>
      </c>
      <c r="N778" t="s">
        <v>38</v>
      </c>
    </row>
    <row r="779" spans="1:14" x14ac:dyDescent="0.3">
      <c r="A779" t="s">
        <v>833</v>
      </c>
      <c r="B779" s="1">
        <v>46011</v>
      </c>
      <c r="C779" t="s">
        <v>22</v>
      </c>
      <c r="D779" t="s">
        <v>16</v>
      </c>
      <c r="E779" t="s">
        <v>44</v>
      </c>
      <c r="F779" t="s">
        <v>18</v>
      </c>
      <c r="G779" t="s">
        <v>50</v>
      </c>
      <c r="H779">
        <v>6</v>
      </c>
      <c r="I779">
        <v>91.37</v>
      </c>
      <c r="J779" s="13">
        <v>0.1</v>
      </c>
      <c r="K779">
        <v>493.4</v>
      </c>
      <c r="L779">
        <v>411.23</v>
      </c>
      <c r="M779">
        <v>82.17</v>
      </c>
      <c r="N779" t="s">
        <v>70</v>
      </c>
    </row>
    <row r="780" spans="1:14" x14ac:dyDescent="0.3">
      <c r="A780" t="s">
        <v>834</v>
      </c>
      <c r="B780" s="1">
        <v>45766</v>
      </c>
      <c r="C780" t="s">
        <v>69</v>
      </c>
      <c r="D780" t="s">
        <v>16</v>
      </c>
      <c r="E780" t="s">
        <v>24</v>
      </c>
      <c r="F780" t="s">
        <v>18</v>
      </c>
      <c r="G780" t="s">
        <v>25</v>
      </c>
      <c r="H780">
        <v>2</v>
      </c>
      <c r="I780">
        <v>290.55</v>
      </c>
      <c r="J780" s="13">
        <v>0.03</v>
      </c>
      <c r="K780">
        <v>563.66</v>
      </c>
      <c r="L780">
        <v>453.05</v>
      </c>
      <c r="M780">
        <v>110.61</v>
      </c>
      <c r="N780" t="s">
        <v>63</v>
      </c>
    </row>
    <row r="781" spans="1:14" x14ac:dyDescent="0.3">
      <c r="A781" t="s">
        <v>835</v>
      </c>
      <c r="B781" s="1">
        <v>45667</v>
      </c>
      <c r="C781" t="s">
        <v>69</v>
      </c>
      <c r="D781" t="s">
        <v>23</v>
      </c>
      <c r="E781" t="s">
        <v>24</v>
      </c>
      <c r="F781" t="s">
        <v>18</v>
      </c>
      <c r="G781" t="s">
        <v>56</v>
      </c>
      <c r="H781">
        <v>2</v>
      </c>
      <c r="I781">
        <v>264.29000000000002</v>
      </c>
      <c r="J781" s="13">
        <v>0.03</v>
      </c>
      <c r="K781">
        <v>512.71</v>
      </c>
      <c r="L781">
        <v>391.11</v>
      </c>
      <c r="M781">
        <v>121.6</v>
      </c>
      <c r="N781" t="s">
        <v>34</v>
      </c>
    </row>
    <row r="782" spans="1:14" x14ac:dyDescent="0.3">
      <c r="A782" t="s">
        <v>836</v>
      </c>
      <c r="B782" s="1">
        <v>45789</v>
      </c>
      <c r="C782" t="s">
        <v>28</v>
      </c>
      <c r="D782" t="s">
        <v>23</v>
      </c>
      <c r="E782" t="s">
        <v>44</v>
      </c>
      <c r="F782" t="s">
        <v>32</v>
      </c>
      <c r="G782" t="s">
        <v>50</v>
      </c>
      <c r="H782">
        <v>4</v>
      </c>
      <c r="I782">
        <v>865.36</v>
      </c>
      <c r="J782" s="13">
        <v>0.1</v>
      </c>
      <c r="K782">
        <v>3115.29</v>
      </c>
      <c r="L782">
        <v>2359.7800000000002</v>
      </c>
      <c r="M782">
        <v>755.51</v>
      </c>
      <c r="N782" t="s">
        <v>72</v>
      </c>
    </row>
    <row r="783" spans="1:14" x14ac:dyDescent="0.3">
      <c r="A783" t="s">
        <v>837</v>
      </c>
      <c r="B783" s="1">
        <v>45899</v>
      </c>
      <c r="C783" t="s">
        <v>67</v>
      </c>
      <c r="D783" t="s">
        <v>41</v>
      </c>
      <c r="E783" t="s">
        <v>24</v>
      </c>
      <c r="F783" t="s">
        <v>18</v>
      </c>
      <c r="G783" t="s">
        <v>19</v>
      </c>
      <c r="H783">
        <v>6</v>
      </c>
      <c r="I783">
        <v>201.41</v>
      </c>
      <c r="J783" s="13">
        <v>0.1</v>
      </c>
      <c r="K783">
        <v>1087.5899999999999</v>
      </c>
      <c r="L783">
        <v>881.6</v>
      </c>
      <c r="M783">
        <v>205.99</v>
      </c>
      <c r="N783" t="s">
        <v>20</v>
      </c>
    </row>
    <row r="784" spans="1:14" x14ac:dyDescent="0.3">
      <c r="A784" t="s">
        <v>838</v>
      </c>
      <c r="B784" s="1">
        <v>45665</v>
      </c>
      <c r="C784" t="s">
        <v>22</v>
      </c>
      <c r="D784" t="s">
        <v>41</v>
      </c>
      <c r="E784" t="s">
        <v>44</v>
      </c>
      <c r="F784" t="s">
        <v>18</v>
      </c>
      <c r="G784" t="s">
        <v>46</v>
      </c>
      <c r="H784">
        <v>6</v>
      </c>
      <c r="I784">
        <v>83.39</v>
      </c>
      <c r="J784" s="13">
        <v>0</v>
      </c>
      <c r="K784">
        <v>500.31</v>
      </c>
      <c r="L784">
        <v>341.36</v>
      </c>
      <c r="M784">
        <v>158.94999999999999</v>
      </c>
      <c r="N784" t="s">
        <v>34</v>
      </c>
    </row>
    <row r="785" spans="1:14" x14ac:dyDescent="0.3">
      <c r="A785" t="s">
        <v>839</v>
      </c>
      <c r="B785" s="1">
        <v>45835</v>
      </c>
      <c r="C785" t="s">
        <v>69</v>
      </c>
      <c r="D785" t="s">
        <v>41</v>
      </c>
      <c r="E785" t="s">
        <v>17</v>
      </c>
      <c r="F785" t="s">
        <v>18</v>
      </c>
      <c r="G785" t="s">
        <v>25</v>
      </c>
      <c r="H785">
        <v>2</v>
      </c>
      <c r="I785">
        <v>289.55</v>
      </c>
      <c r="J785" s="13">
        <v>0.05</v>
      </c>
      <c r="K785">
        <v>550.14</v>
      </c>
      <c r="L785">
        <v>404.36</v>
      </c>
      <c r="M785">
        <v>145.78</v>
      </c>
      <c r="N785" t="s">
        <v>76</v>
      </c>
    </row>
    <row r="786" spans="1:14" x14ac:dyDescent="0.3">
      <c r="A786" t="s">
        <v>840</v>
      </c>
      <c r="B786" s="1">
        <v>45747</v>
      </c>
      <c r="C786" t="s">
        <v>30</v>
      </c>
      <c r="D786" t="s">
        <v>16</v>
      </c>
      <c r="E786" t="s">
        <v>44</v>
      </c>
      <c r="F786" t="s">
        <v>32</v>
      </c>
      <c r="G786" t="s">
        <v>56</v>
      </c>
      <c r="H786">
        <v>2</v>
      </c>
      <c r="I786">
        <v>54.08</v>
      </c>
      <c r="J786" s="13">
        <v>0.05</v>
      </c>
      <c r="K786">
        <v>102.75</v>
      </c>
      <c r="L786">
        <v>64.28</v>
      </c>
      <c r="M786">
        <v>38.47</v>
      </c>
      <c r="N786" t="s">
        <v>53</v>
      </c>
    </row>
    <row r="787" spans="1:14" x14ac:dyDescent="0.3">
      <c r="A787" t="s">
        <v>841</v>
      </c>
      <c r="B787" s="1">
        <v>45732</v>
      </c>
      <c r="C787" t="s">
        <v>40</v>
      </c>
      <c r="D787" t="s">
        <v>23</v>
      </c>
      <c r="E787" t="s">
        <v>24</v>
      </c>
      <c r="F787" t="s">
        <v>18</v>
      </c>
      <c r="G787" t="s">
        <v>50</v>
      </c>
      <c r="H787">
        <v>3</v>
      </c>
      <c r="I787">
        <v>101.36</v>
      </c>
      <c r="J787" s="13">
        <v>0.05</v>
      </c>
      <c r="K787">
        <v>288.87</v>
      </c>
      <c r="L787">
        <v>236.7</v>
      </c>
      <c r="M787">
        <v>52.17</v>
      </c>
      <c r="N787" t="s">
        <v>53</v>
      </c>
    </row>
    <row r="788" spans="1:14" x14ac:dyDescent="0.3">
      <c r="A788" t="s">
        <v>842</v>
      </c>
      <c r="B788" s="1">
        <v>45979</v>
      </c>
      <c r="C788" t="s">
        <v>43</v>
      </c>
      <c r="D788" t="s">
        <v>41</v>
      </c>
      <c r="E788" t="s">
        <v>17</v>
      </c>
      <c r="F788" t="s">
        <v>32</v>
      </c>
      <c r="G788" t="s">
        <v>79</v>
      </c>
      <c r="H788">
        <v>3</v>
      </c>
      <c r="I788">
        <v>567.64</v>
      </c>
      <c r="J788" s="13">
        <v>0.03</v>
      </c>
      <c r="K788">
        <v>1651.82</v>
      </c>
      <c r="L788">
        <v>1121.48</v>
      </c>
      <c r="M788">
        <v>530.34</v>
      </c>
      <c r="N788" t="s">
        <v>60</v>
      </c>
    </row>
    <row r="789" spans="1:14" x14ac:dyDescent="0.3">
      <c r="A789" t="s">
        <v>843</v>
      </c>
      <c r="B789" s="1">
        <v>45769</v>
      </c>
      <c r="C789" t="s">
        <v>15</v>
      </c>
      <c r="D789" t="s">
        <v>41</v>
      </c>
      <c r="E789" t="s">
        <v>24</v>
      </c>
      <c r="F789" t="s">
        <v>18</v>
      </c>
      <c r="G789" t="s">
        <v>37</v>
      </c>
      <c r="H789">
        <v>2</v>
      </c>
      <c r="I789">
        <v>78.489999999999995</v>
      </c>
      <c r="J789" s="13">
        <v>0.03</v>
      </c>
      <c r="K789">
        <v>152.28</v>
      </c>
      <c r="L789">
        <v>100</v>
      </c>
      <c r="M789">
        <v>52.28</v>
      </c>
      <c r="N789" t="s">
        <v>63</v>
      </c>
    </row>
    <row r="790" spans="1:14" x14ac:dyDescent="0.3">
      <c r="A790" t="s">
        <v>844</v>
      </c>
      <c r="B790" s="1">
        <v>45795</v>
      </c>
      <c r="C790" t="s">
        <v>59</v>
      </c>
      <c r="D790" t="s">
        <v>16</v>
      </c>
      <c r="E790" t="s">
        <v>44</v>
      </c>
      <c r="F790" t="s">
        <v>18</v>
      </c>
      <c r="G790" t="s">
        <v>56</v>
      </c>
      <c r="H790">
        <v>1</v>
      </c>
      <c r="I790">
        <v>33.71</v>
      </c>
      <c r="J790" s="13">
        <v>0.03</v>
      </c>
      <c r="K790">
        <v>32.700000000000003</v>
      </c>
      <c r="L790">
        <v>22.69</v>
      </c>
      <c r="M790">
        <v>10.01</v>
      </c>
      <c r="N790" t="s">
        <v>72</v>
      </c>
    </row>
    <row r="791" spans="1:14" x14ac:dyDescent="0.3">
      <c r="A791" t="s">
        <v>845</v>
      </c>
      <c r="B791" s="1">
        <v>45677</v>
      </c>
      <c r="C791" t="s">
        <v>48</v>
      </c>
      <c r="D791" t="s">
        <v>16</v>
      </c>
      <c r="E791" t="s">
        <v>17</v>
      </c>
      <c r="F791" t="s">
        <v>18</v>
      </c>
      <c r="G791" t="s">
        <v>46</v>
      </c>
      <c r="H791">
        <v>4</v>
      </c>
      <c r="I791">
        <v>338.83</v>
      </c>
      <c r="J791" s="13">
        <v>0.05</v>
      </c>
      <c r="K791">
        <v>1287.57</v>
      </c>
      <c r="L791">
        <v>915.41</v>
      </c>
      <c r="M791">
        <v>372.16</v>
      </c>
      <c r="N791" t="s">
        <v>34</v>
      </c>
    </row>
    <row r="792" spans="1:14" x14ac:dyDescent="0.3">
      <c r="A792" t="s">
        <v>846</v>
      </c>
      <c r="B792" s="1">
        <v>45676</v>
      </c>
      <c r="C792" t="s">
        <v>67</v>
      </c>
      <c r="D792" t="s">
        <v>23</v>
      </c>
      <c r="E792" t="s">
        <v>24</v>
      </c>
      <c r="F792" t="s">
        <v>45</v>
      </c>
      <c r="G792" t="s">
        <v>79</v>
      </c>
      <c r="H792">
        <v>2</v>
      </c>
      <c r="I792">
        <v>171.14</v>
      </c>
      <c r="J792" s="13">
        <v>0.03</v>
      </c>
      <c r="K792">
        <v>332.01</v>
      </c>
      <c r="L792">
        <v>214.25</v>
      </c>
      <c r="M792">
        <v>117.76</v>
      </c>
      <c r="N792" t="s">
        <v>34</v>
      </c>
    </row>
    <row r="793" spans="1:14" x14ac:dyDescent="0.3">
      <c r="A793" t="s">
        <v>847</v>
      </c>
      <c r="B793" s="1">
        <v>46007</v>
      </c>
      <c r="C793" t="s">
        <v>67</v>
      </c>
      <c r="D793" t="s">
        <v>31</v>
      </c>
      <c r="E793" t="s">
        <v>24</v>
      </c>
      <c r="F793" t="s">
        <v>18</v>
      </c>
      <c r="G793" t="s">
        <v>33</v>
      </c>
      <c r="H793">
        <v>2</v>
      </c>
      <c r="I793">
        <v>184.54</v>
      </c>
      <c r="J793" s="13">
        <v>0.1</v>
      </c>
      <c r="K793">
        <v>332.17</v>
      </c>
      <c r="L793">
        <v>241.91</v>
      </c>
      <c r="M793">
        <v>90.26</v>
      </c>
      <c r="N793" t="s">
        <v>70</v>
      </c>
    </row>
    <row r="794" spans="1:14" x14ac:dyDescent="0.3">
      <c r="A794" t="s">
        <v>848</v>
      </c>
      <c r="B794" s="1">
        <v>46015</v>
      </c>
      <c r="C794" t="s">
        <v>30</v>
      </c>
      <c r="D794" t="s">
        <v>16</v>
      </c>
      <c r="E794" t="s">
        <v>44</v>
      </c>
      <c r="F794" t="s">
        <v>32</v>
      </c>
      <c r="G794" t="s">
        <v>79</v>
      </c>
      <c r="H794">
        <v>1</v>
      </c>
      <c r="I794">
        <v>52.71</v>
      </c>
      <c r="J794" s="13">
        <v>0.03</v>
      </c>
      <c r="K794">
        <v>51.13</v>
      </c>
      <c r="L794">
        <v>40.17</v>
      </c>
      <c r="M794">
        <v>10.96</v>
      </c>
      <c r="N794" t="s">
        <v>70</v>
      </c>
    </row>
    <row r="795" spans="1:14" x14ac:dyDescent="0.3">
      <c r="A795" t="s">
        <v>849</v>
      </c>
      <c r="B795" s="1">
        <v>45733</v>
      </c>
      <c r="C795" t="s">
        <v>30</v>
      </c>
      <c r="D795" t="s">
        <v>31</v>
      </c>
      <c r="E795" t="s">
        <v>17</v>
      </c>
      <c r="F795" t="s">
        <v>45</v>
      </c>
      <c r="G795" t="s">
        <v>25</v>
      </c>
      <c r="H795">
        <v>3</v>
      </c>
      <c r="I795">
        <v>55.72</v>
      </c>
      <c r="J795" s="13">
        <v>0</v>
      </c>
      <c r="K795">
        <v>167.17</v>
      </c>
      <c r="L795">
        <v>110.44</v>
      </c>
      <c r="M795">
        <v>56.73</v>
      </c>
      <c r="N795" t="s">
        <v>53</v>
      </c>
    </row>
    <row r="796" spans="1:14" x14ac:dyDescent="0.3">
      <c r="A796" t="s">
        <v>850</v>
      </c>
      <c r="B796" s="1">
        <v>45734</v>
      </c>
      <c r="C796" t="s">
        <v>40</v>
      </c>
      <c r="D796" t="s">
        <v>41</v>
      </c>
      <c r="E796" t="s">
        <v>17</v>
      </c>
      <c r="F796" t="s">
        <v>18</v>
      </c>
      <c r="G796" t="s">
        <v>25</v>
      </c>
      <c r="H796">
        <v>1</v>
      </c>
      <c r="I796">
        <v>110.25</v>
      </c>
      <c r="J796" s="13">
        <v>0</v>
      </c>
      <c r="K796">
        <v>110.25</v>
      </c>
      <c r="L796">
        <v>73.78</v>
      </c>
      <c r="M796">
        <v>36.47</v>
      </c>
      <c r="N796" t="s">
        <v>53</v>
      </c>
    </row>
    <row r="797" spans="1:14" x14ac:dyDescent="0.3">
      <c r="A797" t="s">
        <v>851</v>
      </c>
      <c r="B797" s="1">
        <v>46009</v>
      </c>
      <c r="C797" t="s">
        <v>59</v>
      </c>
      <c r="D797" t="s">
        <v>31</v>
      </c>
      <c r="E797" t="s">
        <v>17</v>
      </c>
      <c r="F797" t="s">
        <v>18</v>
      </c>
      <c r="G797" t="s">
        <v>56</v>
      </c>
      <c r="H797">
        <v>5</v>
      </c>
      <c r="I797">
        <v>34</v>
      </c>
      <c r="J797" s="13">
        <v>0.05</v>
      </c>
      <c r="K797">
        <v>161.47999999999999</v>
      </c>
      <c r="L797">
        <v>100.19</v>
      </c>
      <c r="M797">
        <v>61.29</v>
      </c>
      <c r="N797" t="s">
        <v>70</v>
      </c>
    </row>
    <row r="798" spans="1:14" x14ac:dyDescent="0.3">
      <c r="A798" t="s">
        <v>852</v>
      </c>
      <c r="B798" s="1">
        <v>45901</v>
      </c>
      <c r="C798" t="s">
        <v>22</v>
      </c>
      <c r="D798" t="s">
        <v>16</v>
      </c>
      <c r="E798" t="s">
        <v>17</v>
      </c>
      <c r="F798" t="s">
        <v>32</v>
      </c>
      <c r="G798" t="s">
        <v>25</v>
      </c>
      <c r="H798">
        <v>5</v>
      </c>
      <c r="I798">
        <v>93.05</v>
      </c>
      <c r="J798" s="13">
        <v>0</v>
      </c>
      <c r="K798">
        <v>465.24</v>
      </c>
      <c r="L798">
        <v>354.36</v>
      </c>
      <c r="M798">
        <v>110.88</v>
      </c>
      <c r="N798" t="s">
        <v>38</v>
      </c>
    </row>
    <row r="799" spans="1:14" x14ac:dyDescent="0.3">
      <c r="A799" t="s">
        <v>853</v>
      </c>
      <c r="B799" s="1">
        <v>45946</v>
      </c>
      <c r="C799" t="s">
        <v>36</v>
      </c>
      <c r="D799" t="s">
        <v>41</v>
      </c>
      <c r="E799" t="s">
        <v>44</v>
      </c>
      <c r="F799" t="s">
        <v>45</v>
      </c>
      <c r="G799" t="s">
        <v>46</v>
      </c>
      <c r="H799">
        <v>4</v>
      </c>
      <c r="I799">
        <v>150.13999999999999</v>
      </c>
      <c r="J799" s="13">
        <v>0.15</v>
      </c>
      <c r="K799">
        <v>510.48</v>
      </c>
      <c r="L799">
        <v>412.15</v>
      </c>
      <c r="M799">
        <v>98.33</v>
      </c>
      <c r="N799" t="s">
        <v>51</v>
      </c>
    </row>
    <row r="800" spans="1:14" x14ac:dyDescent="0.3">
      <c r="A800" t="s">
        <v>854</v>
      </c>
      <c r="B800" s="1">
        <v>45928</v>
      </c>
      <c r="C800" t="s">
        <v>15</v>
      </c>
      <c r="D800" t="s">
        <v>23</v>
      </c>
      <c r="E800" t="s">
        <v>24</v>
      </c>
      <c r="F800" t="s">
        <v>45</v>
      </c>
      <c r="G800" t="s">
        <v>25</v>
      </c>
      <c r="H800">
        <v>6</v>
      </c>
      <c r="I800">
        <v>77.87</v>
      </c>
      <c r="J800" s="13">
        <v>0.1</v>
      </c>
      <c r="K800">
        <v>420.5</v>
      </c>
      <c r="L800">
        <v>309.7</v>
      </c>
      <c r="M800">
        <v>110.8</v>
      </c>
      <c r="N800" t="s">
        <v>38</v>
      </c>
    </row>
    <row r="801" spans="1:14" x14ac:dyDescent="0.3">
      <c r="A801" t="s">
        <v>855</v>
      </c>
      <c r="B801" s="1">
        <v>45745</v>
      </c>
      <c r="C801" t="s">
        <v>15</v>
      </c>
      <c r="D801" t="s">
        <v>31</v>
      </c>
      <c r="E801" t="s">
        <v>17</v>
      </c>
      <c r="F801" t="s">
        <v>18</v>
      </c>
      <c r="G801" t="s">
        <v>50</v>
      </c>
      <c r="H801">
        <v>2</v>
      </c>
      <c r="I801">
        <v>75.7</v>
      </c>
      <c r="J801" s="13">
        <v>0.05</v>
      </c>
      <c r="K801">
        <v>143.83000000000001</v>
      </c>
      <c r="L801">
        <v>112.88</v>
      </c>
      <c r="M801">
        <v>30.95</v>
      </c>
      <c r="N801" t="s">
        <v>53</v>
      </c>
    </row>
    <row r="802" spans="1:14" x14ac:dyDescent="0.3">
      <c r="A802" t="s">
        <v>856</v>
      </c>
      <c r="B802" s="1">
        <v>46002</v>
      </c>
      <c r="C802" t="s">
        <v>43</v>
      </c>
      <c r="D802" t="s">
        <v>23</v>
      </c>
      <c r="E802" t="s">
        <v>24</v>
      </c>
      <c r="F802" t="s">
        <v>18</v>
      </c>
      <c r="G802" t="s">
        <v>33</v>
      </c>
      <c r="H802">
        <v>5</v>
      </c>
      <c r="I802">
        <v>661.53</v>
      </c>
      <c r="J802" s="13">
        <v>0.03</v>
      </c>
      <c r="K802">
        <v>3208.44</v>
      </c>
      <c r="L802">
        <v>2202.5500000000002</v>
      </c>
      <c r="M802">
        <v>1005.89</v>
      </c>
      <c r="N802" t="s">
        <v>70</v>
      </c>
    </row>
    <row r="803" spans="1:14" x14ac:dyDescent="0.3">
      <c r="A803" t="s">
        <v>857</v>
      </c>
      <c r="B803" s="1">
        <v>46018</v>
      </c>
      <c r="C803" t="s">
        <v>67</v>
      </c>
      <c r="D803" t="s">
        <v>41</v>
      </c>
      <c r="E803" t="s">
        <v>44</v>
      </c>
      <c r="F803" t="s">
        <v>18</v>
      </c>
      <c r="G803" t="s">
        <v>46</v>
      </c>
      <c r="H803">
        <v>4</v>
      </c>
      <c r="I803">
        <v>184.25</v>
      </c>
      <c r="J803" s="13">
        <v>0</v>
      </c>
      <c r="K803">
        <v>737.01</v>
      </c>
      <c r="L803">
        <v>559.58000000000004</v>
      </c>
      <c r="M803">
        <v>177.43</v>
      </c>
      <c r="N803" t="s">
        <v>70</v>
      </c>
    </row>
    <row r="804" spans="1:14" x14ac:dyDescent="0.3">
      <c r="A804" t="s">
        <v>858</v>
      </c>
      <c r="B804" s="1">
        <v>46006</v>
      </c>
      <c r="C804" t="s">
        <v>30</v>
      </c>
      <c r="D804" t="s">
        <v>16</v>
      </c>
      <c r="E804" t="s">
        <v>17</v>
      </c>
      <c r="F804" t="s">
        <v>18</v>
      </c>
      <c r="G804" t="s">
        <v>33</v>
      </c>
      <c r="H804">
        <v>2</v>
      </c>
      <c r="I804">
        <v>56.77</v>
      </c>
      <c r="J804" s="13">
        <v>0.03</v>
      </c>
      <c r="K804">
        <v>110.14</v>
      </c>
      <c r="L804">
        <v>81.53</v>
      </c>
      <c r="M804">
        <v>28.61</v>
      </c>
      <c r="N804" t="s">
        <v>70</v>
      </c>
    </row>
    <row r="805" spans="1:14" x14ac:dyDescent="0.3">
      <c r="A805" t="s">
        <v>859</v>
      </c>
      <c r="B805" s="1">
        <v>45680</v>
      </c>
      <c r="C805" t="s">
        <v>22</v>
      </c>
      <c r="D805" t="s">
        <v>16</v>
      </c>
      <c r="E805" t="s">
        <v>24</v>
      </c>
      <c r="F805" t="s">
        <v>18</v>
      </c>
      <c r="G805" t="s">
        <v>56</v>
      </c>
      <c r="H805">
        <v>1</v>
      </c>
      <c r="I805">
        <v>80.73</v>
      </c>
      <c r="J805" s="13">
        <v>0</v>
      </c>
      <c r="K805">
        <v>80.73</v>
      </c>
      <c r="L805">
        <v>56.62</v>
      </c>
      <c r="M805">
        <v>24.11</v>
      </c>
      <c r="N805" t="s">
        <v>34</v>
      </c>
    </row>
    <row r="806" spans="1:14" x14ac:dyDescent="0.3">
      <c r="A806" t="s">
        <v>860</v>
      </c>
      <c r="B806" s="1">
        <v>45848</v>
      </c>
      <c r="C806" t="s">
        <v>28</v>
      </c>
      <c r="D806" t="s">
        <v>16</v>
      </c>
      <c r="E806" t="s">
        <v>17</v>
      </c>
      <c r="F806" t="s">
        <v>45</v>
      </c>
      <c r="G806" t="s">
        <v>56</v>
      </c>
      <c r="H806">
        <v>4</v>
      </c>
      <c r="I806">
        <v>922.72</v>
      </c>
      <c r="J806" s="13">
        <v>0.05</v>
      </c>
      <c r="K806">
        <v>3506.32</v>
      </c>
      <c r="L806">
        <v>2743.64</v>
      </c>
      <c r="M806">
        <v>762.68</v>
      </c>
      <c r="N806" t="s">
        <v>26</v>
      </c>
    </row>
    <row r="807" spans="1:14" x14ac:dyDescent="0.3">
      <c r="A807" t="s">
        <v>861</v>
      </c>
      <c r="B807" s="1">
        <v>45762</v>
      </c>
      <c r="C807" t="s">
        <v>28</v>
      </c>
      <c r="D807" t="s">
        <v>41</v>
      </c>
      <c r="E807" t="s">
        <v>24</v>
      </c>
      <c r="F807" t="s">
        <v>45</v>
      </c>
      <c r="G807" t="s">
        <v>56</v>
      </c>
      <c r="H807">
        <v>3</v>
      </c>
      <c r="I807">
        <v>994.21</v>
      </c>
      <c r="J807" s="13">
        <v>0</v>
      </c>
      <c r="K807">
        <v>2982.64</v>
      </c>
      <c r="L807">
        <v>1735.55</v>
      </c>
      <c r="M807">
        <v>1247.0899999999999</v>
      </c>
      <c r="N807" t="s">
        <v>63</v>
      </c>
    </row>
    <row r="808" spans="1:14" x14ac:dyDescent="0.3">
      <c r="A808" t="s">
        <v>862</v>
      </c>
      <c r="B808" s="1">
        <v>45997</v>
      </c>
      <c r="C808" t="s">
        <v>15</v>
      </c>
      <c r="D808" t="s">
        <v>31</v>
      </c>
      <c r="E808" t="s">
        <v>17</v>
      </c>
      <c r="F808" t="s">
        <v>18</v>
      </c>
      <c r="G808" t="s">
        <v>19</v>
      </c>
      <c r="H808">
        <v>2</v>
      </c>
      <c r="I808">
        <v>80.040000000000006</v>
      </c>
      <c r="J808" s="13">
        <v>0.03</v>
      </c>
      <c r="K808">
        <v>155.28</v>
      </c>
      <c r="L808">
        <v>110.06</v>
      </c>
      <c r="M808">
        <v>45.22</v>
      </c>
      <c r="N808" t="s">
        <v>70</v>
      </c>
    </row>
    <row r="809" spans="1:14" x14ac:dyDescent="0.3">
      <c r="A809" t="s">
        <v>863</v>
      </c>
      <c r="B809" s="1">
        <v>45671</v>
      </c>
      <c r="C809" t="s">
        <v>28</v>
      </c>
      <c r="D809" t="s">
        <v>31</v>
      </c>
      <c r="E809" t="s">
        <v>24</v>
      </c>
      <c r="F809" t="s">
        <v>18</v>
      </c>
      <c r="G809" t="s">
        <v>56</v>
      </c>
      <c r="H809">
        <v>1</v>
      </c>
      <c r="I809">
        <v>1032.23</v>
      </c>
      <c r="J809" s="13">
        <v>0.05</v>
      </c>
      <c r="K809">
        <v>980.62</v>
      </c>
      <c r="L809">
        <v>760.75</v>
      </c>
      <c r="M809">
        <v>219.87</v>
      </c>
      <c r="N809" t="s">
        <v>34</v>
      </c>
    </row>
    <row r="810" spans="1:14" x14ac:dyDescent="0.3">
      <c r="A810" t="s">
        <v>864</v>
      </c>
      <c r="B810" s="1">
        <v>45946</v>
      </c>
      <c r="C810" t="s">
        <v>36</v>
      </c>
      <c r="D810" t="s">
        <v>41</v>
      </c>
      <c r="E810" t="s">
        <v>24</v>
      </c>
      <c r="F810" t="s">
        <v>32</v>
      </c>
      <c r="G810" t="s">
        <v>37</v>
      </c>
      <c r="H810">
        <v>3</v>
      </c>
      <c r="I810">
        <v>157.47</v>
      </c>
      <c r="J810" s="13">
        <v>0.05</v>
      </c>
      <c r="K810">
        <v>448.78</v>
      </c>
      <c r="L810">
        <v>285.3</v>
      </c>
      <c r="M810">
        <v>163.47999999999999</v>
      </c>
      <c r="N810" t="s">
        <v>51</v>
      </c>
    </row>
    <row r="811" spans="1:14" x14ac:dyDescent="0.3">
      <c r="A811" t="s">
        <v>865</v>
      </c>
      <c r="B811" s="1">
        <v>45768</v>
      </c>
      <c r="C811" t="s">
        <v>104</v>
      </c>
      <c r="D811" t="s">
        <v>16</v>
      </c>
      <c r="E811" t="s">
        <v>24</v>
      </c>
      <c r="F811" t="s">
        <v>18</v>
      </c>
      <c r="G811" t="s">
        <v>37</v>
      </c>
      <c r="H811">
        <v>2</v>
      </c>
      <c r="I811">
        <v>85.79</v>
      </c>
      <c r="J811" s="13">
        <v>0.03</v>
      </c>
      <c r="K811">
        <v>166.43</v>
      </c>
      <c r="L811">
        <v>121.26</v>
      </c>
      <c r="M811">
        <v>45.17</v>
      </c>
      <c r="N811" t="s">
        <v>63</v>
      </c>
    </row>
    <row r="812" spans="1:14" x14ac:dyDescent="0.3">
      <c r="A812" t="s">
        <v>866</v>
      </c>
      <c r="B812" s="1">
        <v>46019</v>
      </c>
      <c r="C812" t="s">
        <v>69</v>
      </c>
      <c r="D812" t="s">
        <v>31</v>
      </c>
      <c r="E812" t="s">
        <v>24</v>
      </c>
      <c r="F812" t="s">
        <v>45</v>
      </c>
      <c r="G812" t="s">
        <v>19</v>
      </c>
      <c r="H812">
        <v>2</v>
      </c>
      <c r="I812">
        <v>262.24</v>
      </c>
      <c r="J812" s="13">
        <v>0.03</v>
      </c>
      <c r="K812">
        <v>508.75</v>
      </c>
      <c r="L812">
        <v>369.57</v>
      </c>
      <c r="M812">
        <v>139.18</v>
      </c>
      <c r="N812" t="s">
        <v>70</v>
      </c>
    </row>
    <row r="813" spans="1:14" x14ac:dyDescent="0.3">
      <c r="A813" t="s">
        <v>867</v>
      </c>
      <c r="B813" s="1">
        <v>45926</v>
      </c>
      <c r="C813" t="s">
        <v>48</v>
      </c>
      <c r="D813" t="s">
        <v>23</v>
      </c>
      <c r="E813" t="s">
        <v>24</v>
      </c>
      <c r="F813" t="s">
        <v>18</v>
      </c>
      <c r="G813" t="s">
        <v>56</v>
      </c>
      <c r="H813">
        <v>1</v>
      </c>
      <c r="I813">
        <v>344.83</v>
      </c>
      <c r="J813" s="13">
        <v>0.03</v>
      </c>
      <c r="K813">
        <v>334.49</v>
      </c>
      <c r="L813">
        <v>228.06</v>
      </c>
      <c r="M813">
        <v>106.43</v>
      </c>
      <c r="N813" t="s">
        <v>38</v>
      </c>
    </row>
    <row r="814" spans="1:14" x14ac:dyDescent="0.3">
      <c r="A814" t="s">
        <v>868</v>
      </c>
      <c r="B814" s="1">
        <v>45709</v>
      </c>
      <c r="C814" t="s">
        <v>40</v>
      </c>
      <c r="D814" t="s">
        <v>23</v>
      </c>
      <c r="E814" t="s">
        <v>17</v>
      </c>
      <c r="F814" t="s">
        <v>18</v>
      </c>
      <c r="G814" t="s">
        <v>33</v>
      </c>
      <c r="H814">
        <v>2</v>
      </c>
      <c r="I814">
        <v>112.61</v>
      </c>
      <c r="J814" s="13">
        <v>0</v>
      </c>
      <c r="K814">
        <v>225.22</v>
      </c>
      <c r="L814">
        <v>134.72</v>
      </c>
      <c r="M814">
        <v>90.5</v>
      </c>
      <c r="N814" t="s">
        <v>102</v>
      </c>
    </row>
    <row r="815" spans="1:14" x14ac:dyDescent="0.3">
      <c r="A815" t="s">
        <v>869</v>
      </c>
      <c r="B815" s="1">
        <v>45727</v>
      </c>
      <c r="C815" t="s">
        <v>59</v>
      </c>
      <c r="D815" t="s">
        <v>23</v>
      </c>
      <c r="E815" t="s">
        <v>24</v>
      </c>
      <c r="F815" t="s">
        <v>32</v>
      </c>
      <c r="G815" t="s">
        <v>46</v>
      </c>
      <c r="H815">
        <v>5</v>
      </c>
      <c r="I815">
        <v>30.85</v>
      </c>
      <c r="J815" s="13">
        <v>0.05</v>
      </c>
      <c r="K815">
        <v>146.53</v>
      </c>
      <c r="L815">
        <v>97.96</v>
      </c>
      <c r="M815">
        <v>48.57</v>
      </c>
      <c r="N815" t="s">
        <v>53</v>
      </c>
    </row>
    <row r="816" spans="1:14" x14ac:dyDescent="0.3">
      <c r="A816" t="s">
        <v>870</v>
      </c>
      <c r="B816" s="1">
        <v>45910</v>
      </c>
      <c r="C816" t="s">
        <v>40</v>
      </c>
      <c r="D816" t="s">
        <v>16</v>
      </c>
      <c r="E816" t="s">
        <v>17</v>
      </c>
      <c r="F816" t="s">
        <v>18</v>
      </c>
      <c r="G816" t="s">
        <v>79</v>
      </c>
      <c r="H816">
        <v>1</v>
      </c>
      <c r="I816">
        <v>104.76</v>
      </c>
      <c r="J816" s="13">
        <v>0</v>
      </c>
      <c r="K816">
        <v>104.76</v>
      </c>
      <c r="L816">
        <v>65.89</v>
      </c>
      <c r="M816">
        <v>38.869999999999997</v>
      </c>
      <c r="N816" t="s">
        <v>38</v>
      </c>
    </row>
    <row r="817" spans="1:14" x14ac:dyDescent="0.3">
      <c r="A817" t="s">
        <v>871</v>
      </c>
      <c r="B817" s="1">
        <v>45888</v>
      </c>
      <c r="C817" t="s">
        <v>15</v>
      </c>
      <c r="D817" t="s">
        <v>41</v>
      </c>
      <c r="E817" t="s">
        <v>17</v>
      </c>
      <c r="F817" t="s">
        <v>18</v>
      </c>
      <c r="G817" t="s">
        <v>56</v>
      </c>
      <c r="H817">
        <v>3</v>
      </c>
      <c r="I817">
        <v>70.37</v>
      </c>
      <c r="J817" s="13">
        <v>0.1</v>
      </c>
      <c r="K817">
        <v>190</v>
      </c>
      <c r="L817">
        <v>156.4</v>
      </c>
      <c r="M817">
        <v>33.6</v>
      </c>
      <c r="N817" t="s">
        <v>20</v>
      </c>
    </row>
    <row r="818" spans="1:14" x14ac:dyDescent="0.3">
      <c r="A818" t="s">
        <v>872</v>
      </c>
      <c r="B818" s="1">
        <v>45673</v>
      </c>
      <c r="C818" t="s">
        <v>69</v>
      </c>
      <c r="D818" t="s">
        <v>41</v>
      </c>
      <c r="E818" t="s">
        <v>24</v>
      </c>
      <c r="F818" t="s">
        <v>18</v>
      </c>
      <c r="G818" t="s">
        <v>79</v>
      </c>
      <c r="H818">
        <v>5</v>
      </c>
      <c r="I818">
        <v>281.91000000000003</v>
      </c>
      <c r="J818" s="13">
        <v>0.03</v>
      </c>
      <c r="K818">
        <v>1367.24</v>
      </c>
      <c r="L818">
        <v>953.4</v>
      </c>
      <c r="M818">
        <v>413.84</v>
      </c>
      <c r="N818" t="s">
        <v>34</v>
      </c>
    </row>
    <row r="819" spans="1:14" x14ac:dyDescent="0.3">
      <c r="A819" t="s">
        <v>873</v>
      </c>
      <c r="B819" s="1">
        <v>45743</v>
      </c>
      <c r="C819" t="s">
        <v>22</v>
      </c>
      <c r="D819" t="s">
        <v>41</v>
      </c>
      <c r="E819" t="s">
        <v>44</v>
      </c>
      <c r="F819" t="s">
        <v>18</v>
      </c>
      <c r="G819" t="s">
        <v>46</v>
      </c>
      <c r="H819">
        <v>3</v>
      </c>
      <c r="I819">
        <v>92</v>
      </c>
      <c r="J819" s="13">
        <v>0.05</v>
      </c>
      <c r="K819">
        <v>262.19</v>
      </c>
      <c r="L819">
        <v>202.24</v>
      </c>
      <c r="M819">
        <v>59.95</v>
      </c>
      <c r="N819" t="s">
        <v>53</v>
      </c>
    </row>
    <row r="820" spans="1:14" x14ac:dyDescent="0.3">
      <c r="A820" t="s">
        <v>874</v>
      </c>
      <c r="B820" s="1">
        <v>45837</v>
      </c>
      <c r="C820" t="s">
        <v>40</v>
      </c>
      <c r="D820" t="s">
        <v>41</v>
      </c>
      <c r="E820" t="s">
        <v>44</v>
      </c>
      <c r="F820" t="s">
        <v>45</v>
      </c>
      <c r="G820" t="s">
        <v>19</v>
      </c>
      <c r="H820">
        <v>7</v>
      </c>
      <c r="I820">
        <v>101.78</v>
      </c>
      <c r="J820" s="13">
        <v>0</v>
      </c>
      <c r="K820">
        <v>712.45</v>
      </c>
      <c r="L820">
        <v>523.6</v>
      </c>
      <c r="M820">
        <v>188.85</v>
      </c>
      <c r="N820" t="s">
        <v>76</v>
      </c>
    </row>
    <row r="821" spans="1:14" x14ac:dyDescent="0.3">
      <c r="A821" t="s">
        <v>875</v>
      </c>
      <c r="B821" s="1">
        <v>45880</v>
      </c>
      <c r="C821" t="s">
        <v>48</v>
      </c>
      <c r="D821" t="s">
        <v>31</v>
      </c>
      <c r="E821" t="s">
        <v>44</v>
      </c>
      <c r="F821" t="s">
        <v>18</v>
      </c>
      <c r="G821" t="s">
        <v>25</v>
      </c>
      <c r="H821">
        <v>1</v>
      </c>
      <c r="I821">
        <v>340.38</v>
      </c>
      <c r="J821" s="13">
        <v>0.03</v>
      </c>
      <c r="K821">
        <v>330.17</v>
      </c>
      <c r="L821">
        <v>242.06</v>
      </c>
      <c r="M821">
        <v>88.11</v>
      </c>
      <c r="N821" t="s">
        <v>20</v>
      </c>
    </row>
    <row r="822" spans="1:14" x14ac:dyDescent="0.3">
      <c r="A822" t="s">
        <v>876</v>
      </c>
      <c r="B822" s="1">
        <v>45683</v>
      </c>
      <c r="C822" t="s">
        <v>104</v>
      </c>
      <c r="D822" t="s">
        <v>41</v>
      </c>
      <c r="E822" t="s">
        <v>17</v>
      </c>
      <c r="F822" t="s">
        <v>45</v>
      </c>
      <c r="G822" t="s">
        <v>50</v>
      </c>
      <c r="H822">
        <v>4</v>
      </c>
      <c r="I822">
        <v>91.55</v>
      </c>
      <c r="J822" s="13">
        <v>0.03</v>
      </c>
      <c r="K822">
        <v>355.22</v>
      </c>
      <c r="L822">
        <v>266.38</v>
      </c>
      <c r="M822">
        <v>88.84</v>
      </c>
      <c r="N822" t="s">
        <v>34</v>
      </c>
    </row>
    <row r="823" spans="1:14" x14ac:dyDescent="0.3">
      <c r="A823" t="s">
        <v>877</v>
      </c>
      <c r="B823" s="1">
        <v>45910</v>
      </c>
      <c r="C823" t="s">
        <v>40</v>
      </c>
      <c r="D823" t="s">
        <v>31</v>
      </c>
      <c r="E823" t="s">
        <v>44</v>
      </c>
      <c r="F823" t="s">
        <v>18</v>
      </c>
      <c r="G823" t="s">
        <v>56</v>
      </c>
      <c r="H823">
        <v>1</v>
      </c>
      <c r="I823">
        <v>112.73</v>
      </c>
      <c r="J823" s="13">
        <v>0.1</v>
      </c>
      <c r="K823">
        <v>101.46</v>
      </c>
      <c r="L823">
        <v>71.61</v>
      </c>
      <c r="M823">
        <v>29.85</v>
      </c>
      <c r="N823" t="s">
        <v>38</v>
      </c>
    </row>
    <row r="824" spans="1:14" x14ac:dyDescent="0.3">
      <c r="A824" t="s">
        <v>878</v>
      </c>
      <c r="B824" s="1">
        <v>46013</v>
      </c>
      <c r="C824" t="s">
        <v>22</v>
      </c>
      <c r="D824" t="s">
        <v>41</v>
      </c>
      <c r="E824" t="s">
        <v>24</v>
      </c>
      <c r="F824" t="s">
        <v>32</v>
      </c>
      <c r="G824" t="s">
        <v>56</v>
      </c>
      <c r="H824">
        <v>3</v>
      </c>
      <c r="I824">
        <v>78.150000000000006</v>
      </c>
      <c r="J824" s="13">
        <v>0.15</v>
      </c>
      <c r="K824">
        <v>199.27</v>
      </c>
      <c r="L824">
        <v>172.1</v>
      </c>
      <c r="M824">
        <v>27.17</v>
      </c>
      <c r="N824" t="s">
        <v>70</v>
      </c>
    </row>
    <row r="825" spans="1:14" x14ac:dyDescent="0.3">
      <c r="A825" t="s">
        <v>879</v>
      </c>
      <c r="B825" s="1">
        <v>45746</v>
      </c>
      <c r="C825" t="s">
        <v>67</v>
      </c>
      <c r="D825" t="s">
        <v>31</v>
      </c>
      <c r="E825" t="s">
        <v>24</v>
      </c>
      <c r="F825" t="s">
        <v>32</v>
      </c>
      <c r="G825" t="s">
        <v>79</v>
      </c>
      <c r="H825">
        <v>1</v>
      </c>
      <c r="I825">
        <v>200.31</v>
      </c>
      <c r="J825" s="13">
        <v>0.1</v>
      </c>
      <c r="K825">
        <v>180.28</v>
      </c>
      <c r="L825">
        <v>139.91999999999999</v>
      </c>
      <c r="M825">
        <v>40.36</v>
      </c>
      <c r="N825" t="s">
        <v>53</v>
      </c>
    </row>
    <row r="826" spans="1:14" x14ac:dyDescent="0.3">
      <c r="A826" t="s">
        <v>880</v>
      </c>
      <c r="B826" s="1">
        <v>45954</v>
      </c>
      <c r="C826" t="s">
        <v>104</v>
      </c>
      <c r="D826" t="s">
        <v>31</v>
      </c>
      <c r="E826" t="s">
        <v>17</v>
      </c>
      <c r="F826" t="s">
        <v>32</v>
      </c>
      <c r="G826" t="s">
        <v>37</v>
      </c>
      <c r="H826">
        <v>1</v>
      </c>
      <c r="I826">
        <v>95.09</v>
      </c>
      <c r="J826" s="13">
        <v>0.1</v>
      </c>
      <c r="K826">
        <v>85.58</v>
      </c>
      <c r="L826">
        <v>65.459999999999994</v>
      </c>
      <c r="M826">
        <v>20.12</v>
      </c>
      <c r="N826" t="s">
        <v>51</v>
      </c>
    </row>
    <row r="827" spans="1:14" x14ac:dyDescent="0.3">
      <c r="A827" t="s">
        <v>881</v>
      </c>
      <c r="B827" s="1">
        <v>45996</v>
      </c>
      <c r="C827" t="s">
        <v>22</v>
      </c>
      <c r="D827" t="s">
        <v>41</v>
      </c>
      <c r="E827" t="s">
        <v>17</v>
      </c>
      <c r="F827" t="s">
        <v>18</v>
      </c>
      <c r="G827" t="s">
        <v>79</v>
      </c>
      <c r="H827">
        <v>5</v>
      </c>
      <c r="I827">
        <v>87.31</v>
      </c>
      <c r="J827" s="13">
        <v>0</v>
      </c>
      <c r="K827">
        <v>436.55</v>
      </c>
      <c r="L827">
        <v>333.1</v>
      </c>
      <c r="M827">
        <v>103.45</v>
      </c>
      <c r="N827" t="s">
        <v>70</v>
      </c>
    </row>
    <row r="828" spans="1:14" x14ac:dyDescent="0.3">
      <c r="A828" t="s">
        <v>882</v>
      </c>
      <c r="B828" s="1">
        <v>45953</v>
      </c>
      <c r="C828" t="s">
        <v>15</v>
      </c>
      <c r="D828" t="s">
        <v>41</v>
      </c>
      <c r="E828" t="s">
        <v>24</v>
      </c>
      <c r="F828" t="s">
        <v>45</v>
      </c>
      <c r="G828" t="s">
        <v>79</v>
      </c>
      <c r="H828">
        <v>2</v>
      </c>
      <c r="I828">
        <v>79.42</v>
      </c>
      <c r="J828" s="13">
        <v>0</v>
      </c>
      <c r="K828">
        <v>158.84</v>
      </c>
      <c r="L828">
        <v>100.62</v>
      </c>
      <c r="M828">
        <v>58.22</v>
      </c>
      <c r="N828" t="s">
        <v>51</v>
      </c>
    </row>
    <row r="829" spans="1:14" x14ac:dyDescent="0.3">
      <c r="A829" t="s">
        <v>883</v>
      </c>
      <c r="B829" s="1">
        <v>45670</v>
      </c>
      <c r="C829" t="s">
        <v>69</v>
      </c>
      <c r="D829" t="s">
        <v>16</v>
      </c>
      <c r="E829" t="s">
        <v>17</v>
      </c>
      <c r="F829" t="s">
        <v>32</v>
      </c>
      <c r="G829" t="s">
        <v>33</v>
      </c>
      <c r="H829">
        <v>1</v>
      </c>
      <c r="I829">
        <v>257.67</v>
      </c>
      <c r="J829" s="13">
        <v>0.05</v>
      </c>
      <c r="K829">
        <v>244.78</v>
      </c>
      <c r="L829">
        <v>199.61</v>
      </c>
      <c r="M829">
        <v>45.17</v>
      </c>
      <c r="N829" t="s">
        <v>34</v>
      </c>
    </row>
    <row r="830" spans="1:14" x14ac:dyDescent="0.3">
      <c r="A830" t="s">
        <v>884</v>
      </c>
      <c r="B830" s="1">
        <v>45865</v>
      </c>
      <c r="C830" t="s">
        <v>43</v>
      </c>
      <c r="D830" t="s">
        <v>31</v>
      </c>
      <c r="E830" t="s">
        <v>24</v>
      </c>
      <c r="F830" t="s">
        <v>18</v>
      </c>
      <c r="G830" t="s">
        <v>50</v>
      </c>
      <c r="H830">
        <v>1</v>
      </c>
      <c r="I830">
        <v>664.56</v>
      </c>
      <c r="J830" s="13">
        <v>0.1</v>
      </c>
      <c r="K830">
        <v>598.1</v>
      </c>
      <c r="L830">
        <v>441.71</v>
      </c>
      <c r="M830">
        <v>156.38999999999999</v>
      </c>
      <c r="N830" t="s">
        <v>26</v>
      </c>
    </row>
    <row r="831" spans="1:14" x14ac:dyDescent="0.3">
      <c r="A831" t="s">
        <v>885</v>
      </c>
      <c r="B831" s="1">
        <v>45874</v>
      </c>
      <c r="C831" t="s">
        <v>48</v>
      </c>
      <c r="D831" t="s">
        <v>16</v>
      </c>
      <c r="E831" t="s">
        <v>44</v>
      </c>
      <c r="F831" t="s">
        <v>45</v>
      </c>
      <c r="G831" t="s">
        <v>19</v>
      </c>
      <c r="H831">
        <v>1</v>
      </c>
      <c r="I831">
        <v>331.01</v>
      </c>
      <c r="J831" s="13">
        <v>0.05</v>
      </c>
      <c r="K831">
        <v>314.45999999999998</v>
      </c>
      <c r="L831">
        <v>202.88</v>
      </c>
      <c r="M831">
        <v>111.58</v>
      </c>
      <c r="N831" t="s">
        <v>20</v>
      </c>
    </row>
    <row r="832" spans="1:14" x14ac:dyDescent="0.3">
      <c r="A832" t="s">
        <v>886</v>
      </c>
      <c r="B832" s="1">
        <v>45864</v>
      </c>
      <c r="C832" t="s">
        <v>69</v>
      </c>
      <c r="D832" t="s">
        <v>41</v>
      </c>
      <c r="E832" t="s">
        <v>24</v>
      </c>
      <c r="F832" t="s">
        <v>18</v>
      </c>
      <c r="G832" t="s">
        <v>50</v>
      </c>
      <c r="H832">
        <v>2</v>
      </c>
      <c r="I832">
        <v>281.79000000000002</v>
      </c>
      <c r="J832" s="13">
        <v>0</v>
      </c>
      <c r="K832">
        <v>563.58000000000004</v>
      </c>
      <c r="L832">
        <v>402.23</v>
      </c>
      <c r="M832">
        <v>161.35</v>
      </c>
      <c r="N832" t="s">
        <v>26</v>
      </c>
    </row>
    <row r="833" spans="1:14" x14ac:dyDescent="0.3">
      <c r="A833" t="s">
        <v>887</v>
      </c>
      <c r="B833" s="1">
        <v>45821</v>
      </c>
      <c r="C833" t="s">
        <v>43</v>
      </c>
      <c r="D833" t="s">
        <v>23</v>
      </c>
      <c r="E833" t="s">
        <v>24</v>
      </c>
      <c r="F833" t="s">
        <v>45</v>
      </c>
      <c r="G833" t="s">
        <v>56</v>
      </c>
      <c r="H833">
        <v>6</v>
      </c>
      <c r="I833">
        <v>590.9</v>
      </c>
      <c r="J833" s="13">
        <v>0.03</v>
      </c>
      <c r="K833">
        <v>3439.01</v>
      </c>
      <c r="L833">
        <v>2447.96</v>
      </c>
      <c r="M833">
        <v>991.05</v>
      </c>
      <c r="N833" t="s">
        <v>76</v>
      </c>
    </row>
    <row r="834" spans="1:14" x14ac:dyDescent="0.3">
      <c r="A834" t="s">
        <v>888</v>
      </c>
      <c r="B834" s="1">
        <v>45944</v>
      </c>
      <c r="C834" t="s">
        <v>67</v>
      </c>
      <c r="D834" t="s">
        <v>41</v>
      </c>
      <c r="E834" t="s">
        <v>24</v>
      </c>
      <c r="F834" t="s">
        <v>18</v>
      </c>
      <c r="G834" t="s">
        <v>33</v>
      </c>
      <c r="H834">
        <v>5</v>
      </c>
      <c r="I834">
        <v>183.38</v>
      </c>
      <c r="J834" s="13">
        <v>0.03</v>
      </c>
      <c r="K834">
        <v>889.39</v>
      </c>
      <c r="L834">
        <v>591.72</v>
      </c>
      <c r="M834">
        <v>297.67</v>
      </c>
      <c r="N834" t="s">
        <v>51</v>
      </c>
    </row>
    <row r="835" spans="1:14" x14ac:dyDescent="0.3">
      <c r="A835" t="s">
        <v>889</v>
      </c>
      <c r="B835" s="1">
        <v>45705</v>
      </c>
      <c r="C835" t="s">
        <v>104</v>
      </c>
      <c r="D835" t="s">
        <v>41</v>
      </c>
      <c r="E835" t="s">
        <v>44</v>
      </c>
      <c r="F835" t="s">
        <v>18</v>
      </c>
      <c r="G835" t="s">
        <v>33</v>
      </c>
      <c r="H835">
        <v>2</v>
      </c>
      <c r="I835">
        <v>92.24</v>
      </c>
      <c r="J835" s="13">
        <v>0.15</v>
      </c>
      <c r="K835">
        <v>156.82</v>
      </c>
      <c r="L835">
        <v>130.68</v>
      </c>
      <c r="M835">
        <v>26.14</v>
      </c>
      <c r="N835" t="s">
        <v>102</v>
      </c>
    </row>
    <row r="836" spans="1:14" x14ac:dyDescent="0.3">
      <c r="A836" t="s">
        <v>890</v>
      </c>
      <c r="B836" s="1">
        <v>46014</v>
      </c>
      <c r="C836" t="s">
        <v>67</v>
      </c>
      <c r="D836" t="s">
        <v>16</v>
      </c>
      <c r="E836" t="s">
        <v>44</v>
      </c>
      <c r="F836" t="s">
        <v>32</v>
      </c>
      <c r="G836" t="s">
        <v>19</v>
      </c>
      <c r="H836">
        <v>4</v>
      </c>
      <c r="I836">
        <v>208.72</v>
      </c>
      <c r="J836" s="13">
        <v>0</v>
      </c>
      <c r="K836">
        <v>834.87</v>
      </c>
      <c r="L836">
        <v>501.69</v>
      </c>
      <c r="M836">
        <v>333.18</v>
      </c>
      <c r="N836" t="s">
        <v>70</v>
      </c>
    </row>
    <row r="837" spans="1:14" x14ac:dyDescent="0.3">
      <c r="A837" t="s">
        <v>891</v>
      </c>
      <c r="B837" s="1">
        <v>45746</v>
      </c>
      <c r="C837" t="s">
        <v>59</v>
      </c>
      <c r="D837" t="s">
        <v>31</v>
      </c>
      <c r="E837" t="s">
        <v>17</v>
      </c>
      <c r="F837" t="s">
        <v>18</v>
      </c>
      <c r="G837" t="s">
        <v>37</v>
      </c>
      <c r="H837">
        <v>5</v>
      </c>
      <c r="I837">
        <v>34.869999999999997</v>
      </c>
      <c r="J837" s="13">
        <v>0.05</v>
      </c>
      <c r="K837">
        <v>165.63</v>
      </c>
      <c r="L837">
        <v>103.84</v>
      </c>
      <c r="M837">
        <v>61.79</v>
      </c>
      <c r="N837" t="s">
        <v>53</v>
      </c>
    </row>
    <row r="838" spans="1:14" x14ac:dyDescent="0.3">
      <c r="A838" t="s">
        <v>892</v>
      </c>
      <c r="B838" s="1">
        <v>45802</v>
      </c>
      <c r="C838" t="s">
        <v>48</v>
      </c>
      <c r="D838" t="s">
        <v>23</v>
      </c>
      <c r="E838" t="s">
        <v>24</v>
      </c>
      <c r="F838" t="s">
        <v>18</v>
      </c>
      <c r="G838" t="s">
        <v>50</v>
      </c>
      <c r="H838">
        <v>2</v>
      </c>
      <c r="I838">
        <v>350.42</v>
      </c>
      <c r="J838" s="13">
        <v>0.15</v>
      </c>
      <c r="K838">
        <v>595.71</v>
      </c>
      <c r="L838">
        <v>518.84</v>
      </c>
      <c r="M838">
        <v>76.87</v>
      </c>
      <c r="N838" t="s">
        <v>72</v>
      </c>
    </row>
    <row r="839" spans="1:14" x14ac:dyDescent="0.3">
      <c r="A839" t="s">
        <v>893</v>
      </c>
      <c r="B839" s="1">
        <v>45835</v>
      </c>
      <c r="C839" t="s">
        <v>28</v>
      </c>
      <c r="D839" t="s">
        <v>31</v>
      </c>
      <c r="E839" t="s">
        <v>44</v>
      </c>
      <c r="F839" t="s">
        <v>18</v>
      </c>
      <c r="G839" t="s">
        <v>19</v>
      </c>
      <c r="H839">
        <v>5</v>
      </c>
      <c r="I839">
        <v>1028.6099999999999</v>
      </c>
      <c r="J839" s="13">
        <v>0.03</v>
      </c>
      <c r="K839">
        <v>4988.75</v>
      </c>
      <c r="L839">
        <v>3794.83</v>
      </c>
      <c r="M839">
        <v>1193.92</v>
      </c>
      <c r="N839" t="s">
        <v>76</v>
      </c>
    </row>
    <row r="840" spans="1:14" x14ac:dyDescent="0.3">
      <c r="A840" t="s">
        <v>894</v>
      </c>
      <c r="B840" s="1">
        <v>45883</v>
      </c>
      <c r="C840" t="s">
        <v>30</v>
      </c>
      <c r="D840" t="s">
        <v>31</v>
      </c>
      <c r="E840" t="s">
        <v>24</v>
      </c>
      <c r="F840" t="s">
        <v>32</v>
      </c>
      <c r="G840" t="s">
        <v>33</v>
      </c>
      <c r="H840">
        <v>4</v>
      </c>
      <c r="I840">
        <v>49.56</v>
      </c>
      <c r="J840" s="13">
        <v>0.15</v>
      </c>
      <c r="K840">
        <v>168.5</v>
      </c>
      <c r="L840">
        <v>139.04</v>
      </c>
      <c r="M840">
        <v>29.46</v>
      </c>
      <c r="N840" t="s">
        <v>20</v>
      </c>
    </row>
    <row r="841" spans="1:14" x14ac:dyDescent="0.3">
      <c r="A841" t="s">
        <v>895</v>
      </c>
      <c r="B841" s="1">
        <v>45731</v>
      </c>
      <c r="C841" t="s">
        <v>36</v>
      </c>
      <c r="D841" t="s">
        <v>31</v>
      </c>
      <c r="E841" t="s">
        <v>17</v>
      </c>
      <c r="F841" t="s">
        <v>18</v>
      </c>
      <c r="G841" t="s">
        <v>25</v>
      </c>
      <c r="H841">
        <v>4</v>
      </c>
      <c r="I841">
        <v>144.49</v>
      </c>
      <c r="J841" s="13">
        <v>0</v>
      </c>
      <c r="K841">
        <v>577.95000000000005</v>
      </c>
      <c r="L841">
        <v>357.61</v>
      </c>
      <c r="M841">
        <v>220.34</v>
      </c>
      <c r="N841" t="s">
        <v>53</v>
      </c>
    </row>
    <row r="842" spans="1:14" x14ac:dyDescent="0.3">
      <c r="A842" t="s">
        <v>896</v>
      </c>
      <c r="B842" s="1">
        <v>45998</v>
      </c>
      <c r="C842" t="s">
        <v>36</v>
      </c>
      <c r="D842" t="s">
        <v>41</v>
      </c>
      <c r="E842" t="s">
        <v>17</v>
      </c>
      <c r="F842" t="s">
        <v>32</v>
      </c>
      <c r="G842" t="s">
        <v>33</v>
      </c>
      <c r="H842">
        <v>1</v>
      </c>
      <c r="I842">
        <v>146.56</v>
      </c>
      <c r="J842" s="13">
        <v>0</v>
      </c>
      <c r="K842">
        <v>146.56</v>
      </c>
      <c r="L842">
        <v>87.37</v>
      </c>
      <c r="M842">
        <v>59.19</v>
      </c>
      <c r="N842" t="s">
        <v>70</v>
      </c>
    </row>
    <row r="843" spans="1:14" x14ac:dyDescent="0.3">
      <c r="A843" t="s">
        <v>897</v>
      </c>
      <c r="B843" s="1">
        <v>45674</v>
      </c>
      <c r="C843" t="s">
        <v>40</v>
      </c>
      <c r="D843" t="s">
        <v>31</v>
      </c>
      <c r="E843" t="s">
        <v>24</v>
      </c>
      <c r="F843" t="s">
        <v>18</v>
      </c>
      <c r="G843" t="s">
        <v>25</v>
      </c>
      <c r="H843">
        <v>7</v>
      </c>
      <c r="I843">
        <v>110.74</v>
      </c>
      <c r="J843" s="13">
        <v>0.03</v>
      </c>
      <c r="K843">
        <v>751.92</v>
      </c>
      <c r="L843">
        <v>557.17999999999995</v>
      </c>
      <c r="M843">
        <v>194.74</v>
      </c>
      <c r="N843" t="s">
        <v>34</v>
      </c>
    </row>
    <row r="844" spans="1:14" x14ac:dyDescent="0.3">
      <c r="A844" t="s">
        <v>898</v>
      </c>
      <c r="B844" s="1">
        <v>45789</v>
      </c>
      <c r="C844" t="s">
        <v>104</v>
      </c>
      <c r="D844" t="s">
        <v>23</v>
      </c>
      <c r="E844" t="s">
        <v>17</v>
      </c>
      <c r="F844" t="s">
        <v>18</v>
      </c>
      <c r="G844" t="s">
        <v>33</v>
      </c>
      <c r="H844">
        <v>7</v>
      </c>
      <c r="I844">
        <v>98.93</v>
      </c>
      <c r="J844" s="13">
        <v>0.03</v>
      </c>
      <c r="K844">
        <v>671.71</v>
      </c>
      <c r="L844">
        <v>407.49</v>
      </c>
      <c r="M844">
        <v>264.22000000000003</v>
      </c>
      <c r="N844" t="s">
        <v>72</v>
      </c>
    </row>
    <row r="845" spans="1:14" x14ac:dyDescent="0.3">
      <c r="A845" t="s">
        <v>899</v>
      </c>
      <c r="B845" s="1">
        <v>45813</v>
      </c>
      <c r="C845" t="s">
        <v>22</v>
      </c>
      <c r="D845" t="s">
        <v>31</v>
      </c>
      <c r="E845" t="s">
        <v>17</v>
      </c>
      <c r="F845" t="s">
        <v>18</v>
      </c>
      <c r="G845" t="s">
        <v>37</v>
      </c>
      <c r="H845">
        <v>4</v>
      </c>
      <c r="I845">
        <v>79.489999999999995</v>
      </c>
      <c r="J845" s="13">
        <v>0.05</v>
      </c>
      <c r="K845">
        <v>302.07</v>
      </c>
      <c r="L845">
        <v>199.32</v>
      </c>
      <c r="M845">
        <v>102.75</v>
      </c>
      <c r="N845" t="s">
        <v>76</v>
      </c>
    </row>
    <row r="846" spans="1:14" x14ac:dyDescent="0.3">
      <c r="A846" t="s">
        <v>900</v>
      </c>
      <c r="B846" s="1">
        <v>45659</v>
      </c>
      <c r="C846" t="s">
        <v>104</v>
      </c>
      <c r="D846" t="s">
        <v>41</v>
      </c>
      <c r="E846" t="s">
        <v>17</v>
      </c>
      <c r="F846" t="s">
        <v>18</v>
      </c>
      <c r="G846" t="s">
        <v>37</v>
      </c>
      <c r="H846">
        <v>3</v>
      </c>
      <c r="I846">
        <v>92.59</v>
      </c>
      <c r="J846" s="13">
        <v>0.05</v>
      </c>
      <c r="K846">
        <v>263.88</v>
      </c>
      <c r="L846">
        <v>171.61</v>
      </c>
      <c r="M846">
        <v>92.27</v>
      </c>
      <c r="N846" t="s">
        <v>34</v>
      </c>
    </row>
    <row r="847" spans="1:14" x14ac:dyDescent="0.3">
      <c r="A847" t="s">
        <v>901</v>
      </c>
      <c r="B847" s="1">
        <v>45664</v>
      </c>
      <c r="C847" t="s">
        <v>59</v>
      </c>
      <c r="D847" t="s">
        <v>31</v>
      </c>
      <c r="E847" t="s">
        <v>17</v>
      </c>
      <c r="F847" t="s">
        <v>18</v>
      </c>
      <c r="G847" t="s">
        <v>25</v>
      </c>
      <c r="H847">
        <v>1</v>
      </c>
      <c r="I847">
        <v>30.48</v>
      </c>
      <c r="J847" s="13">
        <v>0.03</v>
      </c>
      <c r="K847">
        <v>29.57</v>
      </c>
      <c r="L847">
        <v>19.21</v>
      </c>
      <c r="M847">
        <v>10.36</v>
      </c>
      <c r="N847" t="s">
        <v>34</v>
      </c>
    </row>
    <row r="848" spans="1:14" x14ac:dyDescent="0.3">
      <c r="A848" t="s">
        <v>902</v>
      </c>
      <c r="B848" s="1">
        <v>45737</v>
      </c>
      <c r="C848" t="s">
        <v>43</v>
      </c>
      <c r="D848" t="s">
        <v>16</v>
      </c>
      <c r="E848" t="s">
        <v>24</v>
      </c>
      <c r="F848" t="s">
        <v>18</v>
      </c>
      <c r="G848" t="s">
        <v>19</v>
      </c>
      <c r="H848">
        <v>4</v>
      </c>
      <c r="I848">
        <v>627.58000000000004</v>
      </c>
      <c r="J848" s="13">
        <v>0.03</v>
      </c>
      <c r="K848">
        <v>2435.02</v>
      </c>
      <c r="L848">
        <v>1503.56</v>
      </c>
      <c r="M848">
        <v>931.46</v>
      </c>
      <c r="N848" t="s">
        <v>53</v>
      </c>
    </row>
    <row r="849" spans="1:14" x14ac:dyDescent="0.3">
      <c r="A849" t="s">
        <v>903</v>
      </c>
      <c r="B849" s="1">
        <v>45932</v>
      </c>
      <c r="C849" t="s">
        <v>28</v>
      </c>
      <c r="D849" t="s">
        <v>31</v>
      </c>
      <c r="E849" t="s">
        <v>44</v>
      </c>
      <c r="F849" t="s">
        <v>45</v>
      </c>
      <c r="G849" t="s">
        <v>50</v>
      </c>
      <c r="H849">
        <v>3</v>
      </c>
      <c r="I849">
        <v>889.8</v>
      </c>
      <c r="J849" s="13">
        <v>0.05</v>
      </c>
      <c r="K849">
        <v>2535.94</v>
      </c>
      <c r="L849">
        <v>1942.76</v>
      </c>
      <c r="M849">
        <v>593.17999999999995</v>
      </c>
      <c r="N849" t="s">
        <v>51</v>
      </c>
    </row>
    <row r="850" spans="1:14" x14ac:dyDescent="0.3">
      <c r="A850" t="s">
        <v>904</v>
      </c>
      <c r="B850" s="1">
        <v>45892</v>
      </c>
      <c r="C850" t="s">
        <v>59</v>
      </c>
      <c r="D850" t="s">
        <v>23</v>
      </c>
      <c r="E850" t="s">
        <v>17</v>
      </c>
      <c r="F850" t="s">
        <v>18</v>
      </c>
      <c r="G850" t="s">
        <v>19</v>
      </c>
      <c r="H850">
        <v>1</v>
      </c>
      <c r="I850">
        <v>32.81</v>
      </c>
      <c r="J850" s="13">
        <v>0.05</v>
      </c>
      <c r="K850">
        <v>31.17</v>
      </c>
      <c r="L850">
        <v>22.34</v>
      </c>
      <c r="M850">
        <v>8.83</v>
      </c>
      <c r="N850" t="s">
        <v>20</v>
      </c>
    </row>
    <row r="851" spans="1:14" x14ac:dyDescent="0.3">
      <c r="A851" t="s">
        <v>905</v>
      </c>
      <c r="B851" s="1">
        <v>45678</v>
      </c>
      <c r="C851" t="s">
        <v>69</v>
      </c>
      <c r="D851" t="s">
        <v>16</v>
      </c>
      <c r="E851" t="s">
        <v>17</v>
      </c>
      <c r="F851" t="s">
        <v>18</v>
      </c>
      <c r="G851" t="s">
        <v>33</v>
      </c>
      <c r="H851">
        <v>2</v>
      </c>
      <c r="I851">
        <v>285.44</v>
      </c>
      <c r="J851" s="13">
        <v>0.03</v>
      </c>
      <c r="K851">
        <v>553.75</v>
      </c>
      <c r="L851">
        <v>360.13</v>
      </c>
      <c r="M851">
        <v>193.62</v>
      </c>
      <c r="N851" t="s">
        <v>34</v>
      </c>
    </row>
    <row r="852" spans="1:14" x14ac:dyDescent="0.3">
      <c r="A852" t="s">
        <v>906</v>
      </c>
      <c r="B852" s="1">
        <v>45725</v>
      </c>
      <c r="C852" t="s">
        <v>59</v>
      </c>
      <c r="D852" t="s">
        <v>41</v>
      </c>
      <c r="E852" t="s">
        <v>17</v>
      </c>
      <c r="F852" t="s">
        <v>18</v>
      </c>
      <c r="G852" t="s">
        <v>56</v>
      </c>
      <c r="H852">
        <v>1</v>
      </c>
      <c r="I852">
        <v>30.04</v>
      </c>
      <c r="J852" s="13">
        <v>0.05</v>
      </c>
      <c r="K852">
        <v>28.53</v>
      </c>
      <c r="L852">
        <v>20.09</v>
      </c>
      <c r="M852">
        <v>8.44</v>
      </c>
      <c r="N852" t="s">
        <v>53</v>
      </c>
    </row>
    <row r="853" spans="1:14" x14ac:dyDescent="0.3">
      <c r="A853" t="s">
        <v>907</v>
      </c>
      <c r="B853" s="1">
        <v>45931</v>
      </c>
      <c r="C853" t="s">
        <v>15</v>
      </c>
      <c r="D853" t="s">
        <v>31</v>
      </c>
      <c r="E853" t="s">
        <v>17</v>
      </c>
      <c r="F853" t="s">
        <v>18</v>
      </c>
      <c r="G853" t="s">
        <v>46</v>
      </c>
      <c r="H853">
        <v>2</v>
      </c>
      <c r="I853">
        <v>69.010000000000005</v>
      </c>
      <c r="J853" s="13">
        <v>0.05</v>
      </c>
      <c r="K853">
        <v>131.12</v>
      </c>
      <c r="L853">
        <v>98.43</v>
      </c>
      <c r="M853">
        <v>32.69</v>
      </c>
      <c r="N853" t="s">
        <v>51</v>
      </c>
    </row>
    <row r="854" spans="1:14" x14ac:dyDescent="0.3">
      <c r="A854" t="s">
        <v>908</v>
      </c>
      <c r="B854" s="1">
        <v>45757</v>
      </c>
      <c r="C854" t="s">
        <v>67</v>
      </c>
      <c r="D854" t="s">
        <v>31</v>
      </c>
      <c r="E854" t="s">
        <v>44</v>
      </c>
      <c r="F854" t="s">
        <v>45</v>
      </c>
      <c r="G854" t="s">
        <v>50</v>
      </c>
      <c r="H854">
        <v>3</v>
      </c>
      <c r="I854">
        <v>203.03</v>
      </c>
      <c r="J854" s="13">
        <v>0.1</v>
      </c>
      <c r="K854">
        <v>548.19000000000005</v>
      </c>
      <c r="L854">
        <v>353.94</v>
      </c>
      <c r="M854">
        <v>194.25</v>
      </c>
      <c r="N854" t="s">
        <v>63</v>
      </c>
    </row>
    <row r="855" spans="1:14" x14ac:dyDescent="0.3">
      <c r="A855" t="s">
        <v>909</v>
      </c>
      <c r="B855" s="1">
        <v>45808</v>
      </c>
      <c r="C855" t="s">
        <v>69</v>
      </c>
      <c r="D855" t="s">
        <v>23</v>
      </c>
      <c r="E855" t="s">
        <v>17</v>
      </c>
      <c r="F855" t="s">
        <v>18</v>
      </c>
      <c r="G855" t="s">
        <v>56</v>
      </c>
      <c r="H855">
        <v>2</v>
      </c>
      <c r="I855">
        <v>288.11</v>
      </c>
      <c r="J855" s="13">
        <v>0.05</v>
      </c>
      <c r="K855">
        <v>547.4</v>
      </c>
      <c r="L855">
        <v>398.44</v>
      </c>
      <c r="M855">
        <v>148.96</v>
      </c>
      <c r="N855" t="s">
        <v>72</v>
      </c>
    </row>
    <row r="856" spans="1:14" x14ac:dyDescent="0.3">
      <c r="A856" t="s">
        <v>910</v>
      </c>
      <c r="B856" s="1">
        <v>45904</v>
      </c>
      <c r="C856" t="s">
        <v>48</v>
      </c>
      <c r="D856" t="s">
        <v>23</v>
      </c>
      <c r="E856" t="s">
        <v>44</v>
      </c>
      <c r="F856" t="s">
        <v>32</v>
      </c>
      <c r="G856" t="s">
        <v>25</v>
      </c>
      <c r="H856">
        <v>4</v>
      </c>
      <c r="I856">
        <v>337.19</v>
      </c>
      <c r="J856" s="13">
        <v>0.05</v>
      </c>
      <c r="K856">
        <v>1281.32</v>
      </c>
      <c r="L856">
        <v>807.63</v>
      </c>
      <c r="M856">
        <v>473.69</v>
      </c>
      <c r="N856" t="s">
        <v>38</v>
      </c>
    </row>
    <row r="857" spans="1:14" x14ac:dyDescent="0.3">
      <c r="A857" t="s">
        <v>911</v>
      </c>
      <c r="B857" s="1">
        <v>45801</v>
      </c>
      <c r="C857" t="s">
        <v>30</v>
      </c>
      <c r="D857" t="s">
        <v>31</v>
      </c>
      <c r="E857" t="s">
        <v>24</v>
      </c>
      <c r="F857" t="s">
        <v>45</v>
      </c>
      <c r="G857" t="s">
        <v>46</v>
      </c>
      <c r="H857">
        <v>2</v>
      </c>
      <c r="I857">
        <v>54.77</v>
      </c>
      <c r="J857" s="13">
        <v>0.1</v>
      </c>
      <c r="K857">
        <v>98.59</v>
      </c>
      <c r="L857">
        <v>71.61</v>
      </c>
      <c r="M857">
        <v>26.98</v>
      </c>
      <c r="N857" t="s">
        <v>72</v>
      </c>
    </row>
    <row r="858" spans="1:14" x14ac:dyDescent="0.3">
      <c r="A858" t="s">
        <v>912</v>
      </c>
      <c r="B858" s="1">
        <v>45688</v>
      </c>
      <c r="C858" t="s">
        <v>48</v>
      </c>
      <c r="D858" t="s">
        <v>31</v>
      </c>
      <c r="E858" t="s">
        <v>17</v>
      </c>
      <c r="F858" t="s">
        <v>45</v>
      </c>
      <c r="G858" t="s">
        <v>33</v>
      </c>
      <c r="H858">
        <v>2</v>
      </c>
      <c r="I858">
        <v>353.48</v>
      </c>
      <c r="J858" s="13">
        <v>0.03</v>
      </c>
      <c r="K858">
        <v>685.74</v>
      </c>
      <c r="L858">
        <v>453.65</v>
      </c>
      <c r="M858">
        <v>232.09</v>
      </c>
      <c r="N858" t="s">
        <v>34</v>
      </c>
    </row>
    <row r="859" spans="1:14" x14ac:dyDescent="0.3">
      <c r="A859" t="s">
        <v>913</v>
      </c>
      <c r="B859" s="1">
        <v>45744</v>
      </c>
      <c r="C859" t="s">
        <v>40</v>
      </c>
      <c r="D859" t="s">
        <v>31</v>
      </c>
      <c r="E859" t="s">
        <v>24</v>
      </c>
      <c r="F859" t="s">
        <v>45</v>
      </c>
      <c r="G859" t="s">
        <v>50</v>
      </c>
      <c r="H859">
        <v>5</v>
      </c>
      <c r="I859">
        <v>99.28</v>
      </c>
      <c r="J859" s="13">
        <v>0.03</v>
      </c>
      <c r="K859">
        <v>481.51</v>
      </c>
      <c r="L859">
        <v>321.95999999999998</v>
      </c>
      <c r="M859">
        <v>159.55000000000001</v>
      </c>
      <c r="N859" t="s">
        <v>53</v>
      </c>
    </row>
    <row r="860" spans="1:14" x14ac:dyDescent="0.3">
      <c r="A860" t="s">
        <v>914</v>
      </c>
      <c r="B860" s="1">
        <v>45846</v>
      </c>
      <c r="C860" t="s">
        <v>67</v>
      </c>
      <c r="D860" t="s">
        <v>16</v>
      </c>
      <c r="E860" t="s">
        <v>17</v>
      </c>
      <c r="F860" t="s">
        <v>32</v>
      </c>
      <c r="G860" t="s">
        <v>19</v>
      </c>
      <c r="H860">
        <v>6</v>
      </c>
      <c r="I860">
        <v>207.4</v>
      </c>
      <c r="J860" s="13">
        <v>0.1</v>
      </c>
      <c r="K860">
        <v>1119.95</v>
      </c>
      <c r="L860">
        <v>935.46</v>
      </c>
      <c r="M860">
        <v>184.49</v>
      </c>
      <c r="N860" t="s">
        <v>26</v>
      </c>
    </row>
    <row r="861" spans="1:14" x14ac:dyDescent="0.3">
      <c r="A861" t="s">
        <v>915</v>
      </c>
      <c r="B861" s="1">
        <v>45789</v>
      </c>
      <c r="C861" t="s">
        <v>40</v>
      </c>
      <c r="D861" t="s">
        <v>41</v>
      </c>
      <c r="E861" t="s">
        <v>44</v>
      </c>
      <c r="F861" t="s">
        <v>18</v>
      </c>
      <c r="G861" t="s">
        <v>25</v>
      </c>
      <c r="H861">
        <v>5</v>
      </c>
      <c r="I861">
        <v>110.08</v>
      </c>
      <c r="J861" s="13">
        <v>0.15</v>
      </c>
      <c r="K861">
        <v>467.84</v>
      </c>
      <c r="L861">
        <v>363.8</v>
      </c>
      <c r="M861">
        <v>104.04</v>
      </c>
      <c r="N861" t="s">
        <v>72</v>
      </c>
    </row>
    <row r="862" spans="1:14" x14ac:dyDescent="0.3">
      <c r="A862" t="s">
        <v>916</v>
      </c>
      <c r="B862" s="1">
        <v>45946</v>
      </c>
      <c r="C862" t="s">
        <v>36</v>
      </c>
      <c r="D862" t="s">
        <v>23</v>
      </c>
      <c r="E862" t="s">
        <v>44</v>
      </c>
      <c r="F862" t="s">
        <v>32</v>
      </c>
      <c r="G862" t="s">
        <v>46</v>
      </c>
      <c r="H862">
        <v>2</v>
      </c>
      <c r="I862">
        <v>157.94</v>
      </c>
      <c r="J862" s="13">
        <v>0.03</v>
      </c>
      <c r="K862">
        <v>306.41000000000003</v>
      </c>
      <c r="L862">
        <v>221.55</v>
      </c>
      <c r="M862">
        <v>84.86</v>
      </c>
      <c r="N862" t="s">
        <v>51</v>
      </c>
    </row>
    <row r="863" spans="1:14" x14ac:dyDescent="0.3">
      <c r="A863" t="s">
        <v>917</v>
      </c>
      <c r="B863" s="1">
        <v>45978</v>
      </c>
      <c r="C863" t="s">
        <v>43</v>
      </c>
      <c r="D863" t="s">
        <v>41</v>
      </c>
      <c r="E863" t="s">
        <v>17</v>
      </c>
      <c r="F863" t="s">
        <v>18</v>
      </c>
      <c r="G863" t="s">
        <v>37</v>
      </c>
      <c r="H863">
        <v>3</v>
      </c>
      <c r="I863">
        <v>653.44000000000005</v>
      </c>
      <c r="J863" s="13">
        <v>0.03</v>
      </c>
      <c r="K863">
        <v>1901.5</v>
      </c>
      <c r="L863">
        <v>1352.32</v>
      </c>
      <c r="M863">
        <v>549.17999999999995</v>
      </c>
      <c r="N863" t="s">
        <v>60</v>
      </c>
    </row>
    <row r="864" spans="1:14" x14ac:dyDescent="0.3">
      <c r="A864" t="s">
        <v>918</v>
      </c>
      <c r="B864" s="1">
        <v>45899</v>
      </c>
      <c r="C864" t="s">
        <v>104</v>
      </c>
      <c r="D864" t="s">
        <v>23</v>
      </c>
      <c r="E864" t="s">
        <v>44</v>
      </c>
      <c r="F864" t="s">
        <v>18</v>
      </c>
      <c r="G864" t="s">
        <v>19</v>
      </c>
      <c r="H864">
        <v>4</v>
      </c>
      <c r="I864">
        <v>96.15</v>
      </c>
      <c r="J864" s="13">
        <v>0.03</v>
      </c>
      <c r="K864">
        <v>373.05</v>
      </c>
      <c r="L864">
        <v>270.19</v>
      </c>
      <c r="M864">
        <v>102.86</v>
      </c>
      <c r="N864" t="s">
        <v>20</v>
      </c>
    </row>
    <row r="865" spans="1:14" x14ac:dyDescent="0.3">
      <c r="A865" t="s">
        <v>919</v>
      </c>
      <c r="B865" s="1">
        <v>45742</v>
      </c>
      <c r="C865" t="s">
        <v>28</v>
      </c>
      <c r="D865" t="s">
        <v>16</v>
      </c>
      <c r="E865" t="s">
        <v>24</v>
      </c>
      <c r="F865" t="s">
        <v>45</v>
      </c>
      <c r="G865" t="s">
        <v>56</v>
      </c>
      <c r="H865">
        <v>1</v>
      </c>
      <c r="I865">
        <v>877.66</v>
      </c>
      <c r="J865" s="13">
        <v>0.05</v>
      </c>
      <c r="K865">
        <v>833.78</v>
      </c>
      <c r="L865">
        <v>656.57</v>
      </c>
      <c r="M865">
        <v>177.21</v>
      </c>
      <c r="N865" t="s">
        <v>53</v>
      </c>
    </row>
    <row r="866" spans="1:14" x14ac:dyDescent="0.3">
      <c r="A866" t="s">
        <v>920</v>
      </c>
      <c r="B866" s="1">
        <v>45878</v>
      </c>
      <c r="C866" t="s">
        <v>15</v>
      </c>
      <c r="D866" t="s">
        <v>41</v>
      </c>
      <c r="E866" t="s">
        <v>17</v>
      </c>
      <c r="F866" t="s">
        <v>18</v>
      </c>
      <c r="G866" t="s">
        <v>33</v>
      </c>
      <c r="H866">
        <v>1</v>
      </c>
      <c r="I866">
        <v>70.38</v>
      </c>
      <c r="J866" s="13">
        <v>0.05</v>
      </c>
      <c r="K866">
        <v>66.86</v>
      </c>
      <c r="L866">
        <v>54.74</v>
      </c>
      <c r="M866">
        <v>12.12</v>
      </c>
      <c r="N866" t="s">
        <v>20</v>
      </c>
    </row>
    <row r="867" spans="1:14" x14ac:dyDescent="0.3">
      <c r="A867" t="s">
        <v>921</v>
      </c>
      <c r="B867" s="1">
        <v>45921</v>
      </c>
      <c r="C867" t="s">
        <v>48</v>
      </c>
      <c r="D867" t="s">
        <v>31</v>
      </c>
      <c r="E867" t="s">
        <v>17</v>
      </c>
      <c r="F867" t="s">
        <v>18</v>
      </c>
      <c r="G867" t="s">
        <v>50</v>
      </c>
      <c r="H867">
        <v>7</v>
      </c>
      <c r="I867">
        <v>353.87</v>
      </c>
      <c r="J867" s="13">
        <v>0.03</v>
      </c>
      <c r="K867">
        <v>2402.7600000000002</v>
      </c>
      <c r="L867">
        <v>1764.65</v>
      </c>
      <c r="M867">
        <v>638.11</v>
      </c>
      <c r="N867" t="s">
        <v>38</v>
      </c>
    </row>
    <row r="868" spans="1:14" x14ac:dyDescent="0.3">
      <c r="A868" t="s">
        <v>922</v>
      </c>
      <c r="B868" s="1">
        <v>45694</v>
      </c>
      <c r="C868" t="s">
        <v>36</v>
      </c>
      <c r="D868" t="s">
        <v>23</v>
      </c>
      <c r="E868" t="s">
        <v>24</v>
      </c>
      <c r="F868" t="s">
        <v>18</v>
      </c>
      <c r="G868" t="s">
        <v>56</v>
      </c>
      <c r="H868">
        <v>3</v>
      </c>
      <c r="I868">
        <v>137.26</v>
      </c>
      <c r="J868" s="13">
        <v>0.1</v>
      </c>
      <c r="K868">
        <v>370.6</v>
      </c>
      <c r="L868">
        <v>241.18</v>
      </c>
      <c r="M868">
        <v>129.41999999999999</v>
      </c>
      <c r="N868" t="s">
        <v>102</v>
      </c>
    </row>
    <row r="869" spans="1:14" x14ac:dyDescent="0.3">
      <c r="A869" t="s">
        <v>923</v>
      </c>
      <c r="B869" s="1">
        <v>45676</v>
      </c>
      <c r="C869" t="s">
        <v>48</v>
      </c>
      <c r="D869" t="s">
        <v>23</v>
      </c>
      <c r="E869" t="s">
        <v>17</v>
      </c>
      <c r="F869" t="s">
        <v>18</v>
      </c>
      <c r="G869" t="s">
        <v>37</v>
      </c>
      <c r="H869">
        <v>1</v>
      </c>
      <c r="I869">
        <v>368.55</v>
      </c>
      <c r="J869" s="13">
        <v>0.1</v>
      </c>
      <c r="K869">
        <v>331.7</v>
      </c>
      <c r="L869">
        <v>216.54</v>
      </c>
      <c r="M869">
        <v>115.16</v>
      </c>
      <c r="N869" t="s">
        <v>34</v>
      </c>
    </row>
    <row r="870" spans="1:14" x14ac:dyDescent="0.3">
      <c r="A870" t="s">
        <v>924</v>
      </c>
      <c r="B870" s="1">
        <v>45716</v>
      </c>
      <c r="C870" t="s">
        <v>59</v>
      </c>
      <c r="D870" t="s">
        <v>23</v>
      </c>
      <c r="E870" t="s">
        <v>17</v>
      </c>
      <c r="F870" t="s">
        <v>18</v>
      </c>
      <c r="G870" t="s">
        <v>25</v>
      </c>
      <c r="H870">
        <v>1</v>
      </c>
      <c r="I870">
        <v>31.44</v>
      </c>
      <c r="J870" s="13">
        <v>0.1</v>
      </c>
      <c r="K870">
        <v>28.29</v>
      </c>
      <c r="L870">
        <v>21.3</v>
      </c>
      <c r="M870">
        <v>6.99</v>
      </c>
      <c r="N870" t="s">
        <v>102</v>
      </c>
    </row>
    <row r="871" spans="1:14" x14ac:dyDescent="0.3">
      <c r="A871" t="s">
        <v>925</v>
      </c>
      <c r="B871" s="1">
        <v>45782</v>
      </c>
      <c r="C871" t="s">
        <v>28</v>
      </c>
      <c r="D871" t="s">
        <v>16</v>
      </c>
      <c r="E871" t="s">
        <v>17</v>
      </c>
      <c r="F871" t="s">
        <v>18</v>
      </c>
      <c r="G871" t="s">
        <v>50</v>
      </c>
      <c r="H871">
        <v>3</v>
      </c>
      <c r="I871">
        <v>877.83</v>
      </c>
      <c r="J871" s="13">
        <v>0.05</v>
      </c>
      <c r="K871">
        <v>2501.8200000000002</v>
      </c>
      <c r="L871">
        <v>1747.29</v>
      </c>
      <c r="M871">
        <v>754.53</v>
      </c>
      <c r="N871" t="s">
        <v>72</v>
      </c>
    </row>
    <row r="872" spans="1:14" x14ac:dyDescent="0.3">
      <c r="A872" t="s">
        <v>926</v>
      </c>
      <c r="B872" s="1">
        <v>45793</v>
      </c>
      <c r="C872" t="s">
        <v>48</v>
      </c>
      <c r="D872" t="s">
        <v>16</v>
      </c>
      <c r="E872" t="s">
        <v>24</v>
      </c>
      <c r="F872" t="s">
        <v>45</v>
      </c>
      <c r="G872" t="s">
        <v>46</v>
      </c>
      <c r="H872">
        <v>6</v>
      </c>
      <c r="I872">
        <v>355.29</v>
      </c>
      <c r="J872" s="13">
        <v>0</v>
      </c>
      <c r="K872">
        <v>2131.7600000000002</v>
      </c>
      <c r="L872">
        <v>1658.61</v>
      </c>
      <c r="M872">
        <v>473.15</v>
      </c>
      <c r="N872" t="s">
        <v>72</v>
      </c>
    </row>
    <row r="873" spans="1:14" x14ac:dyDescent="0.3">
      <c r="A873" t="s">
        <v>927</v>
      </c>
      <c r="B873" s="1">
        <v>45888</v>
      </c>
      <c r="C873" t="s">
        <v>40</v>
      </c>
      <c r="D873" t="s">
        <v>23</v>
      </c>
      <c r="E873" t="s">
        <v>17</v>
      </c>
      <c r="F873" t="s">
        <v>32</v>
      </c>
      <c r="G873" t="s">
        <v>50</v>
      </c>
      <c r="H873">
        <v>3</v>
      </c>
      <c r="I873">
        <v>102.89</v>
      </c>
      <c r="J873" s="13">
        <v>0.1</v>
      </c>
      <c r="K873">
        <v>277.79000000000002</v>
      </c>
      <c r="L873">
        <v>198.79</v>
      </c>
      <c r="M873">
        <v>79</v>
      </c>
      <c r="N873" t="s">
        <v>20</v>
      </c>
    </row>
    <row r="874" spans="1:14" x14ac:dyDescent="0.3">
      <c r="A874" t="s">
        <v>928</v>
      </c>
      <c r="B874" s="1">
        <v>45965</v>
      </c>
      <c r="C874" t="s">
        <v>30</v>
      </c>
      <c r="D874" t="s">
        <v>31</v>
      </c>
      <c r="E874" t="s">
        <v>24</v>
      </c>
      <c r="F874" t="s">
        <v>45</v>
      </c>
      <c r="G874" t="s">
        <v>19</v>
      </c>
      <c r="H874">
        <v>1</v>
      </c>
      <c r="I874">
        <v>52.95</v>
      </c>
      <c r="J874" s="13">
        <v>0.1</v>
      </c>
      <c r="K874">
        <v>47.65</v>
      </c>
      <c r="L874">
        <v>34.909999999999997</v>
      </c>
      <c r="M874">
        <v>12.74</v>
      </c>
      <c r="N874" t="s">
        <v>60</v>
      </c>
    </row>
    <row r="875" spans="1:14" x14ac:dyDescent="0.3">
      <c r="A875" t="s">
        <v>929</v>
      </c>
      <c r="B875" s="1">
        <v>45690</v>
      </c>
      <c r="C875" t="s">
        <v>43</v>
      </c>
      <c r="D875" t="s">
        <v>31</v>
      </c>
      <c r="E875" t="s">
        <v>17</v>
      </c>
      <c r="F875" t="s">
        <v>18</v>
      </c>
      <c r="G875" t="s">
        <v>50</v>
      </c>
      <c r="H875">
        <v>4</v>
      </c>
      <c r="I875">
        <v>581.5</v>
      </c>
      <c r="J875" s="13">
        <v>0</v>
      </c>
      <c r="K875">
        <v>2325.9899999999998</v>
      </c>
      <c r="L875">
        <v>1688.44</v>
      </c>
      <c r="M875">
        <v>637.54999999999995</v>
      </c>
      <c r="N875" t="s">
        <v>102</v>
      </c>
    </row>
    <row r="876" spans="1:14" x14ac:dyDescent="0.3">
      <c r="A876" t="s">
        <v>930</v>
      </c>
      <c r="B876" s="1">
        <v>45883</v>
      </c>
      <c r="C876" t="s">
        <v>15</v>
      </c>
      <c r="D876" t="s">
        <v>41</v>
      </c>
      <c r="E876" t="s">
        <v>44</v>
      </c>
      <c r="F876" t="s">
        <v>45</v>
      </c>
      <c r="G876" t="s">
        <v>46</v>
      </c>
      <c r="H876">
        <v>4</v>
      </c>
      <c r="I876">
        <v>81.02</v>
      </c>
      <c r="J876" s="13">
        <v>0.05</v>
      </c>
      <c r="K876">
        <v>307.87</v>
      </c>
      <c r="L876">
        <v>227.06</v>
      </c>
      <c r="M876">
        <v>80.81</v>
      </c>
      <c r="N876" t="s">
        <v>20</v>
      </c>
    </row>
    <row r="877" spans="1:14" x14ac:dyDescent="0.3">
      <c r="A877" t="s">
        <v>931</v>
      </c>
      <c r="B877" s="1">
        <v>45990</v>
      </c>
      <c r="C877" t="s">
        <v>43</v>
      </c>
      <c r="D877" t="s">
        <v>23</v>
      </c>
      <c r="E877" t="s">
        <v>24</v>
      </c>
      <c r="F877" t="s">
        <v>18</v>
      </c>
      <c r="G877" t="s">
        <v>56</v>
      </c>
      <c r="H877">
        <v>1</v>
      </c>
      <c r="I877">
        <v>570.96</v>
      </c>
      <c r="J877" s="13">
        <v>0.05</v>
      </c>
      <c r="K877">
        <v>542.41</v>
      </c>
      <c r="L877">
        <v>433.24</v>
      </c>
      <c r="M877">
        <v>109.17</v>
      </c>
      <c r="N877" t="s">
        <v>60</v>
      </c>
    </row>
    <row r="878" spans="1:14" x14ac:dyDescent="0.3">
      <c r="A878" t="s">
        <v>932</v>
      </c>
      <c r="B878" s="1">
        <v>45915</v>
      </c>
      <c r="C878" t="s">
        <v>69</v>
      </c>
      <c r="D878" t="s">
        <v>23</v>
      </c>
      <c r="E878" t="s">
        <v>24</v>
      </c>
      <c r="F878" t="s">
        <v>18</v>
      </c>
      <c r="G878" t="s">
        <v>25</v>
      </c>
      <c r="H878">
        <v>3</v>
      </c>
      <c r="I878">
        <v>290.58999999999997</v>
      </c>
      <c r="J878" s="13">
        <v>0</v>
      </c>
      <c r="K878">
        <v>871.78</v>
      </c>
      <c r="L878">
        <v>561.35</v>
      </c>
      <c r="M878">
        <v>310.43</v>
      </c>
      <c r="N878" t="s">
        <v>38</v>
      </c>
    </row>
    <row r="879" spans="1:14" x14ac:dyDescent="0.3">
      <c r="A879" t="s">
        <v>933</v>
      </c>
      <c r="B879" s="1">
        <v>45752</v>
      </c>
      <c r="C879" t="s">
        <v>36</v>
      </c>
      <c r="D879" t="s">
        <v>31</v>
      </c>
      <c r="E879" t="s">
        <v>24</v>
      </c>
      <c r="F879" t="s">
        <v>45</v>
      </c>
      <c r="G879" t="s">
        <v>46</v>
      </c>
      <c r="H879">
        <v>5</v>
      </c>
      <c r="I879">
        <v>154.05000000000001</v>
      </c>
      <c r="J879" s="13">
        <v>0</v>
      </c>
      <c r="K879">
        <v>770.23</v>
      </c>
      <c r="L879">
        <v>463.7</v>
      </c>
      <c r="M879">
        <v>306.52999999999997</v>
      </c>
      <c r="N879" t="s">
        <v>63</v>
      </c>
    </row>
    <row r="880" spans="1:14" x14ac:dyDescent="0.3">
      <c r="A880" t="s">
        <v>934</v>
      </c>
      <c r="B880" s="1">
        <v>45865</v>
      </c>
      <c r="C880" t="s">
        <v>40</v>
      </c>
      <c r="D880" t="s">
        <v>31</v>
      </c>
      <c r="E880" t="s">
        <v>17</v>
      </c>
      <c r="F880" t="s">
        <v>32</v>
      </c>
      <c r="G880" t="s">
        <v>46</v>
      </c>
      <c r="H880">
        <v>3</v>
      </c>
      <c r="I880">
        <v>116.11</v>
      </c>
      <c r="J880" s="13">
        <v>0.03</v>
      </c>
      <c r="K880">
        <v>337.89</v>
      </c>
      <c r="L880">
        <v>221.36</v>
      </c>
      <c r="M880">
        <v>116.53</v>
      </c>
      <c r="N880" t="s">
        <v>26</v>
      </c>
    </row>
    <row r="881" spans="1:14" x14ac:dyDescent="0.3">
      <c r="A881" t="s">
        <v>935</v>
      </c>
      <c r="B881" s="1">
        <v>45811</v>
      </c>
      <c r="C881" t="s">
        <v>67</v>
      </c>
      <c r="D881" t="s">
        <v>41</v>
      </c>
      <c r="E881" t="s">
        <v>17</v>
      </c>
      <c r="F881" t="s">
        <v>32</v>
      </c>
      <c r="G881" t="s">
        <v>56</v>
      </c>
      <c r="H881">
        <v>2</v>
      </c>
      <c r="I881">
        <v>177.64</v>
      </c>
      <c r="J881" s="13">
        <v>0.15</v>
      </c>
      <c r="K881">
        <v>301.98</v>
      </c>
      <c r="L881">
        <v>276.14</v>
      </c>
      <c r="M881">
        <v>25.84</v>
      </c>
      <c r="N881" t="s">
        <v>76</v>
      </c>
    </row>
    <row r="882" spans="1:14" x14ac:dyDescent="0.3">
      <c r="A882" t="s">
        <v>936</v>
      </c>
      <c r="B882" s="1">
        <v>45852</v>
      </c>
      <c r="C882" t="s">
        <v>59</v>
      </c>
      <c r="D882" t="s">
        <v>31</v>
      </c>
      <c r="E882" t="s">
        <v>17</v>
      </c>
      <c r="F882" t="s">
        <v>18</v>
      </c>
      <c r="G882" t="s">
        <v>79</v>
      </c>
      <c r="H882">
        <v>1</v>
      </c>
      <c r="I882">
        <v>34.75</v>
      </c>
      <c r="J882" s="13">
        <v>0.05</v>
      </c>
      <c r="K882">
        <v>33.01</v>
      </c>
      <c r="L882">
        <v>24.02</v>
      </c>
      <c r="M882">
        <v>8.99</v>
      </c>
      <c r="N882" t="s">
        <v>26</v>
      </c>
    </row>
    <row r="883" spans="1:14" x14ac:dyDescent="0.3">
      <c r="A883" t="s">
        <v>937</v>
      </c>
      <c r="B883" s="1">
        <v>45804</v>
      </c>
      <c r="C883" t="s">
        <v>59</v>
      </c>
      <c r="D883" t="s">
        <v>16</v>
      </c>
      <c r="E883" t="s">
        <v>17</v>
      </c>
      <c r="F883" t="s">
        <v>32</v>
      </c>
      <c r="G883" t="s">
        <v>50</v>
      </c>
      <c r="H883">
        <v>5</v>
      </c>
      <c r="I883">
        <v>30.76</v>
      </c>
      <c r="J883" s="13">
        <v>0</v>
      </c>
      <c r="K883">
        <v>153.80000000000001</v>
      </c>
      <c r="L883">
        <v>116.31</v>
      </c>
      <c r="M883">
        <v>37.49</v>
      </c>
      <c r="N883" t="s">
        <v>72</v>
      </c>
    </row>
    <row r="884" spans="1:14" x14ac:dyDescent="0.3">
      <c r="A884" t="s">
        <v>938</v>
      </c>
      <c r="B884" s="1">
        <v>45662</v>
      </c>
      <c r="C884" t="s">
        <v>104</v>
      </c>
      <c r="D884" t="s">
        <v>31</v>
      </c>
      <c r="E884" t="s">
        <v>24</v>
      </c>
      <c r="F884" t="s">
        <v>45</v>
      </c>
      <c r="G884" t="s">
        <v>19</v>
      </c>
      <c r="H884">
        <v>6</v>
      </c>
      <c r="I884">
        <v>101.55</v>
      </c>
      <c r="J884" s="13">
        <v>0.03</v>
      </c>
      <c r="K884">
        <v>591.03</v>
      </c>
      <c r="L884">
        <v>440.07</v>
      </c>
      <c r="M884">
        <v>150.96</v>
      </c>
      <c r="N884" t="s">
        <v>34</v>
      </c>
    </row>
    <row r="885" spans="1:14" x14ac:dyDescent="0.3">
      <c r="A885" t="s">
        <v>939</v>
      </c>
      <c r="B885" s="1">
        <v>45880</v>
      </c>
      <c r="C885" t="s">
        <v>28</v>
      </c>
      <c r="D885" t="s">
        <v>31</v>
      </c>
      <c r="E885" t="s">
        <v>24</v>
      </c>
      <c r="F885" t="s">
        <v>18</v>
      </c>
      <c r="G885" t="s">
        <v>33</v>
      </c>
      <c r="H885">
        <v>3</v>
      </c>
      <c r="I885">
        <v>860.9</v>
      </c>
      <c r="J885" s="13">
        <v>0.1</v>
      </c>
      <c r="K885">
        <v>2324.4299999999998</v>
      </c>
      <c r="L885">
        <v>1775.55</v>
      </c>
      <c r="M885">
        <v>548.88</v>
      </c>
      <c r="N885" t="s">
        <v>20</v>
      </c>
    </row>
    <row r="886" spans="1:14" x14ac:dyDescent="0.3">
      <c r="A886" t="s">
        <v>940</v>
      </c>
      <c r="B886" s="1">
        <v>46022</v>
      </c>
      <c r="C886" t="s">
        <v>59</v>
      </c>
      <c r="D886" t="s">
        <v>31</v>
      </c>
      <c r="E886" t="s">
        <v>44</v>
      </c>
      <c r="F886" t="s">
        <v>45</v>
      </c>
      <c r="G886" t="s">
        <v>79</v>
      </c>
      <c r="H886">
        <v>1</v>
      </c>
      <c r="I886">
        <v>32.520000000000003</v>
      </c>
      <c r="J886" s="13">
        <v>0</v>
      </c>
      <c r="K886">
        <v>32.520000000000003</v>
      </c>
      <c r="L886">
        <v>23.39</v>
      </c>
      <c r="M886">
        <v>9.1300000000000008</v>
      </c>
      <c r="N886" t="s">
        <v>70</v>
      </c>
    </row>
    <row r="887" spans="1:14" x14ac:dyDescent="0.3">
      <c r="A887" t="s">
        <v>941</v>
      </c>
      <c r="B887" s="1">
        <v>45840</v>
      </c>
      <c r="C887" t="s">
        <v>69</v>
      </c>
      <c r="D887" t="s">
        <v>16</v>
      </c>
      <c r="E887" t="s">
        <v>17</v>
      </c>
      <c r="F887" t="s">
        <v>18</v>
      </c>
      <c r="G887" t="s">
        <v>33</v>
      </c>
      <c r="H887">
        <v>3</v>
      </c>
      <c r="I887">
        <v>258.14</v>
      </c>
      <c r="J887" s="13">
        <v>0.1</v>
      </c>
      <c r="K887">
        <v>696.98</v>
      </c>
      <c r="L887">
        <v>457.65</v>
      </c>
      <c r="M887">
        <v>239.33</v>
      </c>
      <c r="N887" t="s">
        <v>26</v>
      </c>
    </row>
    <row r="888" spans="1:14" x14ac:dyDescent="0.3">
      <c r="A888" t="s">
        <v>942</v>
      </c>
      <c r="B888" s="1">
        <v>45983</v>
      </c>
      <c r="C888" t="s">
        <v>36</v>
      </c>
      <c r="D888" t="s">
        <v>31</v>
      </c>
      <c r="E888" t="s">
        <v>44</v>
      </c>
      <c r="F888" t="s">
        <v>18</v>
      </c>
      <c r="G888" t="s">
        <v>33</v>
      </c>
      <c r="H888">
        <v>1</v>
      </c>
      <c r="I888">
        <v>134.59</v>
      </c>
      <c r="J888" s="13">
        <v>0.1</v>
      </c>
      <c r="K888">
        <v>121.13</v>
      </c>
      <c r="L888">
        <v>80.42</v>
      </c>
      <c r="M888">
        <v>40.71</v>
      </c>
      <c r="N888" t="s">
        <v>60</v>
      </c>
    </row>
    <row r="889" spans="1:14" x14ac:dyDescent="0.3">
      <c r="A889" t="s">
        <v>943</v>
      </c>
      <c r="B889" s="1">
        <v>45836</v>
      </c>
      <c r="C889" t="s">
        <v>36</v>
      </c>
      <c r="D889" t="s">
        <v>23</v>
      </c>
      <c r="E889" t="s">
        <v>24</v>
      </c>
      <c r="F889" t="s">
        <v>18</v>
      </c>
      <c r="G889" t="s">
        <v>33</v>
      </c>
      <c r="H889">
        <v>4</v>
      </c>
      <c r="I889">
        <v>135.21</v>
      </c>
      <c r="J889" s="13">
        <v>0</v>
      </c>
      <c r="K889">
        <v>540.85</v>
      </c>
      <c r="L889">
        <v>400.86</v>
      </c>
      <c r="M889">
        <v>139.99</v>
      </c>
      <c r="N889" t="s">
        <v>76</v>
      </c>
    </row>
    <row r="890" spans="1:14" x14ac:dyDescent="0.3">
      <c r="A890" t="s">
        <v>944</v>
      </c>
      <c r="B890" s="1">
        <v>45890</v>
      </c>
      <c r="C890" t="s">
        <v>22</v>
      </c>
      <c r="D890" t="s">
        <v>16</v>
      </c>
      <c r="E890" t="s">
        <v>24</v>
      </c>
      <c r="F890" t="s">
        <v>18</v>
      </c>
      <c r="G890" t="s">
        <v>56</v>
      </c>
      <c r="H890">
        <v>4</v>
      </c>
      <c r="I890">
        <v>81.64</v>
      </c>
      <c r="J890" s="13">
        <v>0</v>
      </c>
      <c r="K890">
        <v>326.58</v>
      </c>
      <c r="L890">
        <v>234.36</v>
      </c>
      <c r="M890">
        <v>92.22</v>
      </c>
      <c r="N890" t="s">
        <v>20</v>
      </c>
    </row>
    <row r="891" spans="1:14" x14ac:dyDescent="0.3">
      <c r="A891" t="s">
        <v>945</v>
      </c>
      <c r="B891" s="1">
        <v>45833</v>
      </c>
      <c r="C891" t="s">
        <v>40</v>
      </c>
      <c r="D891" t="s">
        <v>23</v>
      </c>
      <c r="E891" t="s">
        <v>17</v>
      </c>
      <c r="F891" t="s">
        <v>32</v>
      </c>
      <c r="G891" t="s">
        <v>56</v>
      </c>
      <c r="H891">
        <v>3</v>
      </c>
      <c r="I891">
        <v>120.15</v>
      </c>
      <c r="J891" s="13">
        <v>0.05</v>
      </c>
      <c r="K891">
        <v>342.43</v>
      </c>
      <c r="L891">
        <v>210.11</v>
      </c>
      <c r="M891">
        <v>132.32</v>
      </c>
      <c r="N891" t="s">
        <v>76</v>
      </c>
    </row>
    <row r="892" spans="1:14" x14ac:dyDescent="0.3">
      <c r="A892" t="s">
        <v>946</v>
      </c>
      <c r="B892" s="1">
        <v>45960</v>
      </c>
      <c r="C892" t="s">
        <v>40</v>
      </c>
      <c r="D892" t="s">
        <v>16</v>
      </c>
      <c r="E892" t="s">
        <v>17</v>
      </c>
      <c r="F892" t="s">
        <v>45</v>
      </c>
      <c r="G892" t="s">
        <v>50</v>
      </c>
      <c r="H892">
        <v>2</v>
      </c>
      <c r="I892">
        <v>112.74</v>
      </c>
      <c r="J892" s="13">
        <v>0.03</v>
      </c>
      <c r="K892">
        <v>218.72</v>
      </c>
      <c r="L892">
        <v>135.41999999999999</v>
      </c>
      <c r="M892">
        <v>83.3</v>
      </c>
      <c r="N892" t="s">
        <v>51</v>
      </c>
    </row>
    <row r="893" spans="1:14" x14ac:dyDescent="0.3">
      <c r="A893" t="s">
        <v>947</v>
      </c>
      <c r="B893" s="1">
        <v>45820</v>
      </c>
      <c r="C893" t="s">
        <v>59</v>
      </c>
      <c r="D893" t="s">
        <v>31</v>
      </c>
      <c r="E893" t="s">
        <v>17</v>
      </c>
      <c r="F893" t="s">
        <v>18</v>
      </c>
      <c r="G893" t="s">
        <v>19</v>
      </c>
      <c r="H893">
        <v>1</v>
      </c>
      <c r="I893">
        <v>34.71</v>
      </c>
      <c r="J893" s="13">
        <v>0.05</v>
      </c>
      <c r="K893">
        <v>32.979999999999997</v>
      </c>
      <c r="L893">
        <v>24.51</v>
      </c>
      <c r="M893">
        <v>8.4700000000000006</v>
      </c>
      <c r="N893" t="s">
        <v>76</v>
      </c>
    </row>
    <row r="894" spans="1:14" x14ac:dyDescent="0.3">
      <c r="A894" t="s">
        <v>948</v>
      </c>
      <c r="B894" s="1">
        <v>45959</v>
      </c>
      <c r="C894" t="s">
        <v>59</v>
      </c>
      <c r="D894" t="s">
        <v>41</v>
      </c>
      <c r="E894" t="s">
        <v>17</v>
      </c>
      <c r="F894" t="s">
        <v>45</v>
      </c>
      <c r="G894" t="s">
        <v>79</v>
      </c>
      <c r="H894">
        <v>2</v>
      </c>
      <c r="I894">
        <v>32.89</v>
      </c>
      <c r="J894" s="13">
        <v>0.03</v>
      </c>
      <c r="K894">
        <v>63.8</v>
      </c>
      <c r="L894">
        <v>43.4</v>
      </c>
      <c r="M894">
        <v>20.399999999999999</v>
      </c>
      <c r="N894" t="s">
        <v>51</v>
      </c>
    </row>
    <row r="895" spans="1:14" x14ac:dyDescent="0.3">
      <c r="A895" t="s">
        <v>949</v>
      </c>
      <c r="B895" s="1">
        <v>45884</v>
      </c>
      <c r="C895" t="s">
        <v>36</v>
      </c>
      <c r="D895" t="s">
        <v>23</v>
      </c>
      <c r="E895" t="s">
        <v>44</v>
      </c>
      <c r="F895" t="s">
        <v>18</v>
      </c>
      <c r="G895" t="s">
        <v>33</v>
      </c>
      <c r="H895">
        <v>2</v>
      </c>
      <c r="I895">
        <v>136.86000000000001</v>
      </c>
      <c r="J895" s="13">
        <v>0.05</v>
      </c>
      <c r="K895">
        <v>260.02999999999997</v>
      </c>
      <c r="L895">
        <v>198.56</v>
      </c>
      <c r="M895">
        <v>61.47</v>
      </c>
      <c r="N895" t="s">
        <v>20</v>
      </c>
    </row>
    <row r="896" spans="1:14" x14ac:dyDescent="0.3">
      <c r="A896" t="s">
        <v>950</v>
      </c>
      <c r="B896" s="1">
        <v>45832</v>
      </c>
      <c r="C896" t="s">
        <v>30</v>
      </c>
      <c r="D896" t="s">
        <v>23</v>
      </c>
      <c r="E896" t="s">
        <v>24</v>
      </c>
      <c r="F896" t="s">
        <v>32</v>
      </c>
      <c r="G896" t="s">
        <v>33</v>
      </c>
      <c r="H896">
        <v>5</v>
      </c>
      <c r="I896">
        <v>52.46</v>
      </c>
      <c r="J896" s="13">
        <v>0.05</v>
      </c>
      <c r="K896">
        <v>249.2</v>
      </c>
      <c r="L896">
        <v>187.32</v>
      </c>
      <c r="M896">
        <v>61.88</v>
      </c>
      <c r="N896" t="s">
        <v>76</v>
      </c>
    </row>
    <row r="897" spans="1:14" x14ac:dyDescent="0.3">
      <c r="A897" t="s">
        <v>951</v>
      </c>
      <c r="B897" s="1">
        <v>45973</v>
      </c>
      <c r="C897" t="s">
        <v>48</v>
      </c>
      <c r="D897" t="s">
        <v>41</v>
      </c>
      <c r="E897" t="s">
        <v>24</v>
      </c>
      <c r="F897" t="s">
        <v>18</v>
      </c>
      <c r="G897" t="s">
        <v>56</v>
      </c>
      <c r="H897">
        <v>1</v>
      </c>
      <c r="I897">
        <v>323.47000000000003</v>
      </c>
      <c r="J897" s="13">
        <v>0</v>
      </c>
      <c r="K897">
        <v>323.47000000000003</v>
      </c>
      <c r="L897">
        <v>191.27</v>
      </c>
      <c r="M897">
        <v>132.19999999999999</v>
      </c>
      <c r="N897" t="s">
        <v>60</v>
      </c>
    </row>
    <row r="898" spans="1:14" x14ac:dyDescent="0.3">
      <c r="A898" t="s">
        <v>952</v>
      </c>
      <c r="B898" s="1">
        <v>45675</v>
      </c>
      <c r="C898" t="s">
        <v>36</v>
      </c>
      <c r="D898" t="s">
        <v>31</v>
      </c>
      <c r="E898" t="s">
        <v>17</v>
      </c>
      <c r="F898" t="s">
        <v>45</v>
      </c>
      <c r="G898" t="s">
        <v>25</v>
      </c>
      <c r="H898">
        <v>4</v>
      </c>
      <c r="I898">
        <v>148.61000000000001</v>
      </c>
      <c r="J898" s="13">
        <v>0</v>
      </c>
      <c r="K898">
        <v>594.42999999999995</v>
      </c>
      <c r="L898">
        <v>419.79</v>
      </c>
      <c r="M898">
        <v>174.64</v>
      </c>
      <c r="N898" t="s">
        <v>34</v>
      </c>
    </row>
    <row r="899" spans="1:14" x14ac:dyDescent="0.3">
      <c r="A899" t="s">
        <v>953</v>
      </c>
      <c r="B899" s="1">
        <v>45682</v>
      </c>
      <c r="C899" t="s">
        <v>104</v>
      </c>
      <c r="D899" t="s">
        <v>23</v>
      </c>
      <c r="E899" t="s">
        <v>24</v>
      </c>
      <c r="F899" t="s">
        <v>18</v>
      </c>
      <c r="G899" t="s">
        <v>33</v>
      </c>
      <c r="H899">
        <v>7</v>
      </c>
      <c r="I899">
        <v>101.78</v>
      </c>
      <c r="J899" s="13">
        <v>0.03</v>
      </c>
      <c r="K899">
        <v>691.07</v>
      </c>
      <c r="L899">
        <v>493.11</v>
      </c>
      <c r="M899">
        <v>197.96</v>
      </c>
      <c r="N899" t="s">
        <v>34</v>
      </c>
    </row>
    <row r="900" spans="1:14" x14ac:dyDescent="0.3">
      <c r="A900" t="s">
        <v>954</v>
      </c>
      <c r="B900" s="1">
        <v>45977</v>
      </c>
      <c r="C900" t="s">
        <v>28</v>
      </c>
      <c r="D900" t="s">
        <v>31</v>
      </c>
      <c r="E900" t="s">
        <v>17</v>
      </c>
      <c r="F900" t="s">
        <v>18</v>
      </c>
      <c r="G900" t="s">
        <v>79</v>
      </c>
      <c r="H900">
        <v>4</v>
      </c>
      <c r="I900">
        <v>955.36</v>
      </c>
      <c r="J900" s="13">
        <v>0</v>
      </c>
      <c r="K900">
        <v>3821.45</v>
      </c>
      <c r="L900">
        <v>2908.77</v>
      </c>
      <c r="M900">
        <v>912.68</v>
      </c>
      <c r="N900" t="s">
        <v>60</v>
      </c>
    </row>
    <row r="901" spans="1:14" x14ac:dyDescent="0.3">
      <c r="A901" t="s">
        <v>955</v>
      </c>
      <c r="B901" s="1">
        <v>45964</v>
      </c>
      <c r="C901" t="s">
        <v>15</v>
      </c>
      <c r="D901" t="s">
        <v>41</v>
      </c>
      <c r="E901" t="s">
        <v>17</v>
      </c>
      <c r="F901" t="s">
        <v>18</v>
      </c>
      <c r="G901" t="s">
        <v>33</v>
      </c>
      <c r="H901">
        <v>2</v>
      </c>
      <c r="I901">
        <v>68.510000000000005</v>
      </c>
      <c r="J901" s="13">
        <v>0.1</v>
      </c>
      <c r="K901">
        <v>123.32</v>
      </c>
      <c r="L901">
        <v>96.31</v>
      </c>
      <c r="M901">
        <v>27.01</v>
      </c>
      <c r="N901" t="s">
        <v>60</v>
      </c>
    </row>
    <row r="902" spans="1:14" x14ac:dyDescent="0.3">
      <c r="A902" t="s">
        <v>956</v>
      </c>
      <c r="B902" s="1">
        <v>45822</v>
      </c>
      <c r="C902" t="s">
        <v>69</v>
      </c>
      <c r="D902" t="s">
        <v>41</v>
      </c>
      <c r="E902" t="s">
        <v>17</v>
      </c>
      <c r="F902" t="s">
        <v>18</v>
      </c>
      <c r="G902" t="s">
        <v>19</v>
      </c>
      <c r="H902">
        <v>2</v>
      </c>
      <c r="I902">
        <v>288.16000000000003</v>
      </c>
      <c r="J902" s="13">
        <v>0.1</v>
      </c>
      <c r="K902">
        <v>518.69000000000005</v>
      </c>
      <c r="L902">
        <v>393.32</v>
      </c>
      <c r="M902">
        <v>125.37</v>
      </c>
      <c r="N902" t="s">
        <v>76</v>
      </c>
    </row>
    <row r="903" spans="1:14" x14ac:dyDescent="0.3">
      <c r="A903" t="s">
        <v>957</v>
      </c>
      <c r="B903" s="1">
        <v>45842</v>
      </c>
      <c r="C903" t="s">
        <v>69</v>
      </c>
      <c r="D903" t="s">
        <v>41</v>
      </c>
      <c r="E903" t="s">
        <v>24</v>
      </c>
      <c r="F903" t="s">
        <v>18</v>
      </c>
      <c r="G903" t="s">
        <v>37</v>
      </c>
      <c r="H903">
        <v>1</v>
      </c>
      <c r="I903">
        <v>263.01</v>
      </c>
      <c r="J903" s="13">
        <v>0</v>
      </c>
      <c r="K903">
        <v>263.01</v>
      </c>
      <c r="L903">
        <v>153.03</v>
      </c>
      <c r="M903">
        <v>109.98</v>
      </c>
      <c r="N903" t="s">
        <v>26</v>
      </c>
    </row>
    <row r="904" spans="1:14" x14ac:dyDescent="0.3">
      <c r="A904" t="s">
        <v>958</v>
      </c>
      <c r="B904" s="1">
        <v>45698</v>
      </c>
      <c r="C904" t="s">
        <v>59</v>
      </c>
      <c r="D904" t="s">
        <v>23</v>
      </c>
      <c r="E904" t="s">
        <v>44</v>
      </c>
      <c r="F904" t="s">
        <v>18</v>
      </c>
      <c r="G904" t="s">
        <v>25</v>
      </c>
      <c r="H904">
        <v>1</v>
      </c>
      <c r="I904">
        <v>31.09</v>
      </c>
      <c r="J904" s="13">
        <v>0.1</v>
      </c>
      <c r="K904">
        <v>27.98</v>
      </c>
      <c r="L904">
        <v>18.23</v>
      </c>
      <c r="M904">
        <v>9.75</v>
      </c>
      <c r="N904" t="s">
        <v>102</v>
      </c>
    </row>
    <row r="905" spans="1:14" x14ac:dyDescent="0.3">
      <c r="A905" t="s">
        <v>959</v>
      </c>
      <c r="B905" s="1">
        <v>45683</v>
      </c>
      <c r="C905" t="s">
        <v>28</v>
      </c>
      <c r="D905" t="s">
        <v>16</v>
      </c>
      <c r="E905" t="s">
        <v>24</v>
      </c>
      <c r="F905" t="s">
        <v>18</v>
      </c>
      <c r="G905" t="s">
        <v>79</v>
      </c>
      <c r="H905">
        <v>1</v>
      </c>
      <c r="I905">
        <v>937.79</v>
      </c>
      <c r="J905" s="13">
        <v>0.03</v>
      </c>
      <c r="K905">
        <v>909.66</v>
      </c>
      <c r="L905">
        <v>621.94000000000005</v>
      </c>
      <c r="M905">
        <v>287.72000000000003</v>
      </c>
      <c r="N905" t="s">
        <v>34</v>
      </c>
    </row>
    <row r="906" spans="1:14" x14ac:dyDescent="0.3">
      <c r="A906" t="s">
        <v>960</v>
      </c>
      <c r="B906" s="1">
        <v>45975</v>
      </c>
      <c r="C906" t="s">
        <v>69</v>
      </c>
      <c r="D906" t="s">
        <v>23</v>
      </c>
      <c r="E906" t="s">
        <v>44</v>
      </c>
      <c r="F906" t="s">
        <v>18</v>
      </c>
      <c r="G906" t="s">
        <v>79</v>
      </c>
      <c r="H906">
        <v>1</v>
      </c>
      <c r="I906">
        <v>298.07</v>
      </c>
      <c r="J906" s="13">
        <v>0.03</v>
      </c>
      <c r="K906">
        <v>289.13</v>
      </c>
      <c r="L906">
        <v>191.75</v>
      </c>
      <c r="M906">
        <v>97.38</v>
      </c>
      <c r="N906" t="s">
        <v>60</v>
      </c>
    </row>
    <row r="907" spans="1:14" x14ac:dyDescent="0.3">
      <c r="A907" t="s">
        <v>961</v>
      </c>
      <c r="B907" s="1">
        <v>45678</v>
      </c>
      <c r="C907" t="s">
        <v>15</v>
      </c>
      <c r="D907" t="s">
        <v>23</v>
      </c>
      <c r="E907" t="s">
        <v>24</v>
      </c>
      <c r="F907" t="s">
        <v>18</v>
      </c>
      <c r="G907" t="s">
        <v>79</v>
      </c>
      <c r="H907">
        <v>5</v>
      </c>
      <c r="I907">
        <v>74.86</v>
      </c>
      <c r="J907" s="13">
        <v>0.05</v>
      </c>
      <c r="K907">
        <v>355.58</v>
      </c>
      <c r="L907">
        <v>253.81</v>
      </c>
      <c r="M907">
        <v>101.77</v>
      </c>
      <c r="N907" t="s">
        <v>34</v>
      </c>
    </row>
    <row r="908" spans="1:14" x14ac:dyDescent="0.3">
      <c r="A908" t="s">
        <v>962</v>
      </c>
      <c r="B908" s="1">
        <v>45872</v>
      </c>
      <c r="C908" t="s">
        <v>59</v>
      </c>
      <c r="D908" t="s">
        <v>23</v>
      </c>
      <c r="E908" t="s">
        <v>17</v>
      </c>
      <c r="F908" t="s">
        <v>32</v>
      </c>
      <c r="G908" t="s">
        <v>25</v>
      </c>
      <c r="H908">
        <v>1</v>
      </c>
      <c r="I908">
        <v>33.94</v>
      </c>
      <c r="J908" s="13">
        <v>0.15</v>
      </c>
      <c r="K908">
        <v>28.85</v>
      </c>
      <c r="L908">
        <v>20.57</v>
      </c>
      <c r="M908">
        <v>8.2799999999999994</v>
      </c>
      <c r="N908" t="s">
        <v>20</v>
      </c>
    </row>
    <row r="909" spans="1:14" x14ac:dyDescent="0.3">
      <c r="A909" t="s">
        <v>963</v>
      </c>
      <c r="B909" s="1">
        <v>45683</v>
      </c>
      <c r="C909" t="s">
        <v>22</v>
      </c>
      <c r="D909" t="s">
        <v>16</v>
      </c>
      <c r="E909" t="s">
        <v>17</v>
      </c>
      <c r="F909" t="s">
        <v>45</v>
      </c>
      <c r="G909" t="s">
        <v>25</v>
      </c>
      <c r="H909">
        <v>4</v>
      </c>
      <c r="I909">
        <v>83.85</v>
      </c>
      <c r="J909" s="13">
        <v>0.05</v>
      </c>
      <c r="K909">
        <v>318.62</v>
      </c>
      <c r="L909">
        <v>246.11</v>
      </c>
      <c r="M909">
        <v>72.510000000000005</v>
      </c>
      <c r="N909" t="s">
        <v>34</v>
      </c>
    </row>
    <row r="910" spans="1:14" x14ac:dyDescent="0.3">
      <c r="A910" t="s">
        <v>964</v>
      </c>
      <c r="B910" s="1">
        <v>45693</v>
      </c>
      <c r="C910" t="s">
        <v>40</v>
      </c>
      <c r="D910" t="s">
        <v>16</v>
      </c>
      <c r="E910" t="s">
        <v>44</v>
      </c>
      <c r="F910" t="s">
        <v>32</v>
      </c>
      <c r="G910" t="s">
        <v>46</v>
      </c>
      <c r="H910">
        <v>1</v>
      </c>
      <c r="I910">
        <v>114.67</v>
      </c>
      <c r="J910" s="13">
        <v>0</v>
      </c>
      <c r="K910">
        <v>114.67</v>
      </c>
      <c r="L910">
        <v>88.07</v>
      </c>
      <c r="M910">
        <v>26.6</v>
      </c>
      <c r="N910" t="s">
        <v>102</v>
      </c>
    </row>
    <row r="911" spans="1:14" x14ac:dyDescent="0.3">
      <c r="A911" t="s">
        <v>965</v>
      </c>
      <c r="B911" s="1">
        <v>45736</v>
      </c>
      <c r="C911" t="s">
        <v>28</v>
      </c>
      <c r="D911" t="s">
        <v>41</v>
      </c>
      <c r="E911" t="s">
        <v>24</v>
      </c>
      <c r="F911" t="s">
        <v>18</v>
      </c>
      <c r="G911" t="s">
        <v>56</v>
      </c>
      <c r="H911">
        <v>4</v>
      </c>
      <c r="I911">
        <v>873.04</v>
      </c>
      <c r="J911" s="13">
        <v>0.03</v>
      </c>
      <c r="K911">
        <v>3387.4</v>
      </c>
      <c r="L911">
        <v>2708.12</v>
      </c>
      <c r="M911">
        <v>679.28</v>
      </c>
      <c r="N911" t="s">
        <v>53</v>
      </c>
    </row>
    <row r="912" spans="1:14" x14ac:dyDescent="0.3">
      <c r="A912" t="s">
        <v>966</v>
      </c>
      <c r="B912" s="1">
        <v>45762</v>
      </c>
      <c r="C912" t="s">
        <v>36</v>
      </c>
      <c r="D912" t="s">
        <v>31</v>
      </c>
      <c r="E912" t="s">
        <v>24</v>
      </c>
      <c r="F912" t="s">
        <v>18</v>
      </c>
      <c r="G912" t="s">
        <v>33</v>
      </c>
      <c r="H912">
        <v>3</v>
      </c>
      <c r="I912">
        <v>140.91999999999999</v>
      </c>
      <c r="J912" s="13">
        <v>0.03</v>
      </c>
      <c r="K912">
        <v>410.08</v>
      </c>
      <c r="L912">
        <v>299.39999999999998</v>
      </c>
      <c r="M912">
        <v>110.68</v>
      </c>
      <c r="N912" t="s">
        <v>63</v>
      </c>
    </row>
    <row r="913" spans="1:14" x14ac:dyDescent="0.3">
      <c r="A913" t="s">
        <v>967</v>
      </c>
      <c r="B913" s="1">
        <v>45804</v>
      </c>
      <c r="C913" t="s">
        <v>43</v>
      </c>
      <c r="D913" t="s">
        <v>16</v>
      </c>
      <c r="E913" t="s">
        <v>24</v>
      </c>
      <c r="F913" t="s">
        <v>45</v>
      </c>
      <c r="G913" t="s">
        <v>25</v>
      </c>
      <c r="H913">
        <v>4</v>
      </c>
      <c r="I913">
        <v>680.99</v>
      </c>
      <c r="J913" s="13">
        <v>0.05</v>
      </c>
      <c r="K913">
        <v>2587.7800000000002</v>
      </c>
      <c r="L913">
        <v>1768.26</v>
      </c>
      <c r="M913">
        <v>819.52</v>
      </c>
      <c r="N913" t="s">
        <v>72</v>
      </c>
    </row>
    <row r="914" spans="1:14" x14ac:dyDescent="0.3">
      <c r="A914" t="s">
        <v>968</v>
      </c>
      <c r="B914" s="1">
        <v>45907</v>
      </c>
      <c r="C914" t="s">
        <v>48</v>
      </c>
      <c r="D914" t="s">
        <v>41</v>
      </c>
      <c r="E914" t="s">
        <v>44</v>
      </c>
      <c r="F914" t="s">
        <v>18</v>
      </c>
      <c r="G914" t="s">
        <v>33</v>
      </c>
      <c r="H914">
        <v>4</v>
      </c>
      <c r="I914">
        <v>342.03</v>
      </c>
      <c r="J914" s="13">
        <v>0.1</v>
      </c>
      <c r="K914">
        <v>1231.3</v>
      </c>
      <c r="L914">
        <v>834.63</v>
      </c>
      <c r="M914">
        <v>396.67</v>
      </c>
      <c r="N914" t="s">
        <v>38</v>
      </c>
    </row>
    <row r="915" spans="1:14" x14ac:dyDescent="0.3">
      <c r="A915" t="s">
        <v>969</v>
      </c>
      <c r="B915" s="1">
        <v>45686</v>
      </c>
      <c r="C915" t="s">
        <v>43</v>
      </c>
      <c r="D915" t="s">
        <v>41</v>
      </c>
      <c r="E915" t="s">
        <v>44</v>
      </c>
      <c r="F915" t="s">
        <v>18</v>
      </c>
      <c r="G915" t="s">
        <v>25</v>
      </c>
      <c r="H915">
        <v>1</v>
      </c>
      <c r="I915">
        <v>669.34</v>
      </c>
      <c r="J915" s="13">
        <v>0</v>
      </c>
      <c r="K915">
        <v>669.34</v>
      </c>
      <c r="L915">
        <v>480.36</v>
      </c>
      <c r="M915">
        <v>188.98</v>
      </c>
      <c r="N915" t="s">
        <v>34</v>
      </c>
    </row>
    <row r="916" spans="1:14" x14ac:dyDescent="0.3">
      <c r="A916" t="s">
        <v>970</v>
      </c>
      <c r="B916" s="1">
        <v>45986</v>
      </c>
      <c r="C916" t="s">
        <v>40</v>
      </c>
      <c r="D916" t="s">
        <v>31</v>
      </c>
      <c r="E916" t="s">
        <v>24</v>
      </c>
      <c r="F916" t="s">
        <v>18</v>
      </c>
      <c r="G916" t="s">
        <v>25</v>
      </c>
      <c r="H916">
        <v>6</v>
      </c>
      <c r="I916">
        <v>102.56</v>
      </c>
      <c r="J916" s="13">
        <v>0.05</v>
      </c>
      <c r="K916">
        <v>584.57000000000005</v>
      </c>
      <c r="L916">
        <v>375.82</v>
      </c>
      <c r="M916">
        <v>208.75</v>
      </c>
      <c r="N916" t="s">
        <v>60</v>
      </c>
    </row>
    <row r="917" spans="1:14" x14ac:dyDescent="0.3">
      <c r="A917" t="s">
        <v>971</v>
      </c>
      <c r="B917" s="1">
        <v>45926</v>
      </c>
      <c r="C917" t="s">
        <v>30</v>
      </c>
      <c r="D917" t="s">
        <v>16</v>
      </c>
      <c r="E917" t="s">
        <v>44</v>
      </c>
      <c r="F917" t="s">
        <v>18</v>
      </c>
      <c r="G917" t="s">
        <v>19</v>
      </c>
      <c r="H917">
        <v>4</v>
      </c>
      <c r="I917">
        <v>51.82</v>
      </c>
      <c r="J917" s="13">
        <v>0</v>
      </c>
      <c r="K917">
        <v>207.28</v>
      </c>
      <c r="L917">
        <v>138.41</v>
      </c>
      <c r="M917">
        <v>68.87</v>
      </c>
      <c r="N917" t="s">
        <v>38</v>
      </c>
    </row>
    <row r="918" spans="1:14" x14ac:dyDescent="0.3">
      <c r="A918" t="s">
        <v>972</v>
      </c>
      <c r="B918" s="1">
        <v>45851</v>
      </c>
      <c r="C918" t="s">
        <v>48</v>
      </c>
      <c r="D918" t="s">
        <v>41</v>
      </c>
      <c r="E918" t="s">
        <v>17</v>
      </c>
      <c r="F918" t="s">
        <v>18</v>
      </c>
      <c r="G918" t="s">
        <v>46</v>
      </c>
      <c r="H918">
        <v>1</v>
      </c>
      <c r="I918">
        <v>350.52</v>
      </c>
      <c r="J918" s="13">
        <v>0.03</v>
      </c>
      <c r="K918">
        <v>340.01</v>
      </c>
      <c r="L918">
        <v>225.38</v>
      </c>
      <c r="M918">
        <v>114.63</v>
      </c>
      <c r="N918" t="s">
        <v>26</v>
      </c>
    </row>
    <row r="919" spans="1:14" x14ac:dyDescent="0.3">
      <c r="A919" t="s">
        <v>973</v>
      </c>
      <c r="B919" s="1">
        <v>45811</v>
      </c>
      <c r="C919" t="s">
        <v>43</v>
      </c>
      <c r="D919" t="s">
        <v>23</v>
      </c>
      <c r="E919" t="s">
        <v>17</v>
      </c>
      <c r="F919" t="s">
        <v>18</v>
      </c>
      <c r="G919" t="s">
        <v>19</v>
      </c>
      <c r="H919">
        <v>4</v>
      </c>
      <c r="I919">
        <v>570.96</v>
      </c>
      <c r="J919" s="13">
        <v>0.05</v>
      </c>
      <c r="K919">
        <v>2169.63</v>
      </c>
      <c r="L919">
        <v>1368.35</v>
      </c>
      <c r="M919">
        <v>801.28</v>
      </c>
      <c r="N919" t="s">
        <v>76</v>
      </c>
    </row>
    <row r="920" spans="1:14" x14ac:dyDescent="0.3">
      <c r="A920" t="s">
        <v>974</v>
      </c>
      <c r="B920" s="1">
        <v>45898</v>
      </c>
      <c r="C920" t="s">
        <v>67</v>
      </c>
      <c r="D920" t="s">
        <v>31</v>
      </c>
      <c r="E920" t="s">
        <v>24</v>
      </c>
      <c r="F920" t="s">
        <v>18</v>
      </c>
      <c r="G920" t="s">
        <v>19</v>
      </c>
      <c r="H920">
        <v>4</v>
      </c>
      <c r="I920">
        <v>174.51</v>
      </c>
      <c r="J920" s="13">
        <v>0</v>
      </c>
      <c r="K920">
        <v>698.04</v>
      </c>
      <c r="L920">
        <v>498.8</v>
      </c>
      <c r="M920">
        <v>199.24</v>
      </c>
      <c r="N920" t="s">
        <v>20</v>
      </c>
    </row>
    <row r="921" spans="1:14" x14ac:dyDescent="0.3">
      <c r="A921" t="s">
        <v>975</v>
      </c>
      <c r="B921" s="1">
        <v>45859</v>
      </c>
      <c r="C921" t="s">
        <v>67</v>
      </c>
      <c r="D921" t="s">
        <v>16</v>
      </c>
      <c r="E921" t="s">
        <v>44</v>
      </c>
      <c r="F921" t="s">
        <v>45</v>
      </c>
      <c r="G921" t="s">
        <v>56</v>
      </c>
      <c r="H921">
        <v>3</v>
      </c>
      <c r="I921">
        <v>188.98</v>
      </c>
      <c r="J921" s="13">
        <v>0.05</v>
      </c>
      <c r="K921">
        <v>538.6</v>
      </c>
      <c r="L921">
        <v>430.21</v>
      </c>
      <c r="M921">
        <v>108.39</v>
      </c>
      <c r="N921" t="s">
        <v>26</v>
      </c>
    </row>
    <row r="922" spans="1:14" x14ac:dyDescent="0.3">
      <c r="A922" t="s">
        <v>976</v>
      </c>
      <c r="B922" s="1">
        <v>45728</v>
      </c>
      <c r="C922" t="s">
        <v>104</v>
      </c>
      <c r="D922" t="s">
        <v>41</v>
      </c>
      <c r="E922" t="s">
        <v>24</v>
      </c>
      <c r="F922" t="s">
        <v>45</v>
      </c>
      <c r="G922" t="s">
        <v>79</v>
      </c>
      <c r="H922">
        <v>1</v>
      </c>
      <c r="I922">
        <v>99.66</v>
      </c>
      <c r="J922" s="13">
        <v>0</v>
      </c>
      <c r="K922">
        <v>99.66</v>
      </c>
      <c r="L922">
        <v>73.28</v>
      </c>
      <c r="M922">
        <v>26.38</v>
      </c>
      <c r="N922" t="s">
        <v>53</v>
      </c>
    </row>
    <row r="923" spans="1:14" x14ac:dyDescent="0.3">
      <c r="A923" t="s">
        <v>977</v>
      </c>
      <c r="B923" s="1">
        <v>45667</v>
      </c>
      <c r="C923" t="s">
        <v>30</v>
      </c>
      <c r="D923" t="s">
        <v>16</v>
      </c>
      <c r="E923" t="s">
        <v>44</v>
      </c>
      <c r="F923" t="s">
        <v>32</v>
      </c>
      <c r="G923" t="s">
        <v>19</v>
      </c>
      <c r="H923">
        <v>5</v>
      </c>
      <c r="I923">
        <v>50.7</v>
      </c>
      <c r="J923" s="13">
        <v>0</v>
      </c>
      <c r="K923">
        <v>253.51</v>
      </c>
      <c r="L923">
        <v>160.80000000000001</v>
      </c>
      <c r="M923">
        <v>92.71</v>
      </c>
      <c r="N923" t="s">
        <v>34</v>
      </c>
    </row>
    <row r="924" spans="1:14" x14ac:dyDescent="0.3">
      <c r="A924" t="s">
        <v>978</v>
      </c>
      <c r="B924" s="1">
        <v>45752</v>
      </c>
      <c r="C924" t="s">
        <v>43</v>
      </c>
      <c r="D924" t="s">
        <v>16</v>
      </c>
      <c r="E924" t="s">
        <v>17</v>
      </c>
      <c r="F924" t="s">
        <v>45</v>
      </c>
      <c r="G924" t="s">
        <v>25</v>
      </c>
      <c r="H924">
        <v>1</v>
      </c>
      <c r="I924">
        <v>668.09</v>
      </c>
      <c r="J924" s="13">
        <v>0.05</v>
      </c>
      <c r="K924">
        <v>634.69000000000005</v>
      </c>
      <c r="L924">
        <v>495.16</v>
      </c>
      <c r="M924">
        <v>139.53</v>
      </c>
      <c r="N924" t="s">
        <v>63</v>
      </c>
    </row>
    <row r="925" spans="1:14" x14ac:dyDescent="0.3">
      <c r="A925" t="s">
        <v>979</v>
      </c>
      <c r="B925" s="1">
        <v>45658</v>
      </c>
      <c r="C925" t="s">
        <v>69</v>
      </c>
      <c r="D925" t="s">
        <v>16</v>
      </c>
      <c r="E925" t="s">
        <v>24</v>
      </c>
      <c r="F925" t="s">
        <v>18</v>
      </c>
      <c r="G925" t="s">
        <v>50</v>
      </c>
      <c r="H925">
        <v>7</v>
      </c>
      <c r="I925">
        <v>261.83999999999997</v>
      </c>
      <c r="J925" s="13">
        <v>0.05</v>
      </c>
      <c r="K925">
        <v>1741.22</v>
      </c>
      <c r="L925">
        <v>1356.82</v>
      </c>
      <c r="M925">
        <v>384.4</v>
      </c>
      <c r="N925" t="s">
        <v>34</v>
      </c>
    </row>
    <row r="926" spans="1:14" x14ac:dyDescent="0.3">
      <c r="A926" t="s">
        <v>980</v>
      </c>
      <c r="B926" s="1">
        <v>45678</v>
      </c>
      <c r="C926" t="s">
        <v>59</v>
      </c>
      <c r="D926" t="s">
        <v>31</v>
      </c>
      <c r="E926" t="s">
        <v>24</v>
      </c>
      <c r="F926" t="s">
        <v>18</v>
      </c>
      <c r="G926" t="s">
        <v>46</v>
      </c>
      <c r="H926">
        <v>1</v>
      </c>
      <c r="I926">
        <v>34.299999999999997</v>
      </c>
      <c r="J926" s="13">
        <v>0.03</v>
      </c>
      <c r="K926">
        <v>33.28</v>
      </c>
      <c r="L926">
        <v>22.62</v>
      </c>
      <c r="M926">
        <v>10.66</v>
      </c>
      <c r="N926" t="s">
        <v>34</v>
      </c>
    </row>
    <row r="927" spans="1:14" x14ac:dyDescent="0.3">
      <c r="A927" t="s">
        <v>981</v>
      </c>
      <c r="B927" s="1">
        <v>45939</v>
      </c>
      <c r="C927" t="s">
        <v>59</v>
      </c>
      <c r="D927" t="s">
        <v>41</v>
      </c>
      <c r="E927" t="s">
        <v>17</v>
      </c>
      <c r="F927" t="s">
        <v>45</v>
      </c>
      <c r="G927" t="s">
        <v>25</v>
      </c>
      <c r="H927">
        <v>3</v>
      </c>
      <c r="I927">
        <v>31.67</v>
      </c>
      <c r="J927" s="13">
        <v>0.03</v>
      </c>
      <c r="K927">
        <v>92.17</v>
      </c>
      <c r="L927">
        <v>63</v>
      </c>
      <c r="M927">
        <v>29.17</v>
      </c>
      <c r="N927" t="s">
        <v>51</v>
      </c>
    </row>
    <row r="928" spans="1:14" x14ac:dyDescent="0.3">
      <c r="A928" t="s">
        <v>982</v>
      </c>
      <c r="B928" s="1">
        <v>45674</v>
      </c>
      <c r="C928" t="s">
        <v>36</v>
      </c>
      <c r="D928" t="s">
        <v>23</v>
      </c>
      <c r="E928" t="s">
        <v>24</v>
      </c>
      <c r="F928" t="s">
        <v>18</v>
      </c>
      <c r="G928" t="s">
        <v>19</v>
      </c>
      <c r="H928">
        <v>3</v>
      </c>
      <c r="I928">
        <v>151.68</v>
      </c>
      <c r="J928" s="13">
        <v>0.1</v>
      </c>
      <c r="K928">
        <v>409.54</v>
      </c>
      <c r="L928">
        <v>350.52</v>
      </c>
      <c r="M928">
        <v>59.02</v>
      </c>
      <c r="N928" t="s">
        <v>34</v>
      </c>
    </row>
    <row r="929" spans="1:14" x14ac:dyDescent="0.3">
      <c r="A929" t="s">
        <v>983</v>
      </c>
      <c r="B929" s="1">
        <v>45903</v>
      </c>
      <c r="C929" t="s">
        <v>15</v>
      </c>
      <c r="D929" t="s">
        <v>41</v>
      </c>
      <c r="E929" t="s">
        <v>24</v>
      </c>
      <c r="F929" t="s">
        <v>18</v>
      </c>
      <c r="G929" t="s">
        <v>56</v>
      </c>
      <c r="H929">
        <v>2</v>
      </c>
      <c r="I929">
        <v>75.459999999999994</v>
      </c>
      <c r="J929" s="13">
        <v>0.1</v>
      </c>
      <c r="K929">
        <v>135.82</v>
      </c>
      <c r="L929">
        <v>94.46</v>
      </c>
      <c r="M929">
        <v>41.36</v>
      </c>
      <c r="N929" t="s">
        <v>38</v>
      </c>
    </row>
    <row r="930" spans="1:14" x14ac:dyDescent="0.3">
      <c r="A930" t="s">
        <v>984</v>
      </c>
      <c r="B930" s="1">
        <v>45911</v>
      </c>
      <c r="C930" t="s">
        <v>43</v>
      </c>
      <c r="D930" t="s">
        <v>16</v>
      </c>
      <c r="E930" t="s">
        <v>17</v>
      </c>
      <c r="F930" t="s">
        <v>45</v>
      </c>
      <c r="G930" t="s">
        <v>37</v>
      </c>
      <c r="H930">
        <v>6</v>
      </c>
      <c r="I930">
        <v>624.01</v>
      </c>
      <c r="J930" s="13">
        <v>0</v>
      </c>
      <c r="K930">
        <v>3744.03</v>
      </c>
      <c r="L930">
        <v>2314.6</v>
      </c>
      <c r="M930">
        <v>1429.43</v>
      </c>
      <c r="N930" t="s">
        <v>38</v>
      </c>
    </row>
    <row r="931" spans="1:14" x14ac:dyDescent="0.3">
      <c r="A931" t="s">
        <v>985</v>
      </c>
      <c r="B931" s="1">
        <v>45970</v>
      </c>
      <c r="C931" t="s">
        <v>67</v>
      </c>
      <c r="D931" t="s">
        <v>41</v>
      </c>
      <c r="E931" t="s">
        <v>24</v>
      </c>
      <c r="F931" t="s">
        <v>45</v>
      </c>
      <c r="G931" t="s">
        <v>37</v>
      </c>
      <c r="H931">
        <v>7</v>
      </c>
      <c r="I931">
        <v>185.67</v>
      </c>
      <c r="J931" s="13">
        <v>0.1</v>
      </c>
      <c r="K931">
        <v>1169.75</v>
      </c>
      <c r="L931">
        <v>1003.98</v>
      </c>
      <c r="M931">
        <v>165.77</v>
      </c>
      <c r="N931" t="s">
        <v>60</v>
      </c>
    </row>
    <row r="932" spans="1:14" x14ac:dyDescent="0.3">
      <c r="A932" t="s">
        <v>986</v>
      </c>
      <c r="B932" s="1">
        <v>45676</v>
      </c>
      <c r="C932" t="s">
        <v>104</v>
      </c>
      <c r="D932" t="s">
        <v>41</v>
      </c>
      <c r="E932" t="s">
        <v>17</v>
      </c>
      <c r="F932" t="s">
        <v>18</v>
      </c>
      <c r="G932" t="s">
        <v>19</v>
      </c>
      <c r="H932">
        <v>7</v>
      </c>
      <c r="I932">
        <v>91.3</v>
      </c>
      <c r="J932" s="13">
        <v>0.05</v>
      </c>
      <c r="K932">
        <v>607.14</v>
      </c>
      <c r="L932">
        <v>422.85</v>
      </c>
      <c r="M932">
        <v>184.29</v>
      </c>
      <c r="N932" t="s">
        <v>34</v>
      </c>
    </row>
    <row r="933" spans="1:14" x14ac:dyDescent="0.3">
      <c r="A933" t="s">
        <v>987</v>
      </c>
      <c r="B933" s="1">
        <v>45981</v>
      </c>
      <c r="C933" t="s">
        <v>40</v>
      </c>
      <c r="D933" t="s">
        <v>31</v>
      </c>
      <c r="E933" t="s">
        <v>24</v>
      </c>
      <c r="F933" t="s">
        <v>18</v>
      </c>
      <c r="G933" t="s">
        <v>79</v>
      </c>
      <c r="H933">
        <v>8</v>
      </c>
      <c r="I933">
        <v>116.47</v>
      </c>
      <c r="J933" s="13">
        <v>0.05</v>
      </c>
      <c r="K933">
        <v>885.14</v>
      </c>
      <c r="L933">
        <v>723.94</v>
      </c>
      <c r="M933">
        <v>161.19999999999999</v>
      </c>
      <c r="N933" t="s">
        <v>60</v>
      </c>
    </row>
    <row r="934" spans="1:14" x14ac:dyDescent="0.3">
      <c r="A934" t="s">
        <v>988</v>
      </c>
      <c r="B934" s="1">
        <v>45662</v>
      </c>
      <c r="C934" t="s">
        <v>43</v>
      </c>
      <c r="D934" t="s">
        <v>41</v>
      </c>
      <c r="E934" t="s">
        <v>24</v>
      </c>
      <c r="F934" t="s">
        <v>45</v>
      </c>
      <c r="G934" t="s">
        <v>56</v>
      </c>
      <c r="H934">
        <v>1</v>
      </c>
      <c r="I934">
        <v>665.55</v>
      </c>
      <c r="J934" s="13">
        <v>0.1</v>
      </c>
      <c r="K934">
        <v>599</v>
      </c>
      <c r="L934">
        <v>467.03</v>
      </c>
      <c r="M934">
        <v>131.97</v>
      </c>
      <c r="N934" t="s">
        <v>34</v>
      </c>
    </row>
    <row r="935" spans="1:14" x14ac:dyDescent="0.3">
      <c r="A935" t="s">
        <v>989</v>
      </c>
      <c r="B935" s="1">
        <v>45782</v>
      </c>
      <c r="C935" t="s">
        <v>59</v>
      </c>
      <c r="D935" t="s">
        <v>41</v>
      </c>
      <c r="E935" t="s">
        <v>24</v>
      </c>
      <c r="F935" t="s">
        <v>18</v>
      </c>
      <c r="G935" t="s">
        <v>25</v>
      </c>
      <c r="H935">
        <v>4</v>
      </c>
      <c r="I935">
        <v>32.74</v>
      </c>
      <c r="J935" s="13">
        <v>0.03</v>
      </c>
      <c r="K935">
        <v>127.03</v>
      </c>
      <c r="L935">
        <v>98.89</v>
      </c>
      <c r="M935">
        <v>28.14</v>
      </c>
      <c r="N935" t="s">
        <v>72</v>
      </c>
    </row>
    <row r="936" spans="1:14" x14ac:dyDescent="0.3">
      <c r="A936" t="s">
        <v>990</v>
      </c>
      <c r="B936" s="1">
        <v>45746</v>
      </c>
      <c r="C936" t="s">
        <v>43</v>
      </c>
      <c r="D936" t="s">
        <v>16</v>
      </c>
      <c r="E936" t="s">
        <v>17</v>
      </c>
      <c r="F936" t="s">
        <v>45</v>
      </c>
      <c r="G936" t="s">
        <v>19</v>
      </c>
      <c r="H936">
        <v>2</v>
      </c>
      <c r="I936">
        <v>560.75</v>
      </c>
      <c r="J936" s="13">
        <v>0.1</v>
      </c>
      <c r="K936">
        <v>1009.36</v>
      </c>
      <c r="L936">
        <v>722.46</v>
      </c>
      <c r="M936">
        <v>286.89999999999998</v>
      </c>
      <c r="N936" t="s">
        <v>53</v>
      </c>
    </row>
    <row r="937" spans="1:14" x14ac:dyDescent="0.3">
      <c r="A937" t="s">
        <v>991</v>
      </c>
      <c r="B937" s="1">
        <v>45727</v>
      </c>
      <c r="C937" t="s">
        <v>48</v>
      </c>
      <c r="D937" t="s">
        <v>16</v>
      </c>
      <c r="E937" t="s">
        <v>17</v>
      </c>
      <c r="F937" t="s">
        <v>45</v>
      </c>
      <c r="G937" t="s">
        <v>79</v>
      </c>
      <c r="H937">
        <v>4</v>
      </c>
      <c r="I937">
        <v>313.18</v>
      </c>
      <c r="J937" s="13">
        <v>0.05</v>
      </c>
      <c r="K937">
        <v>1190.0899999999999</v>
      </c>
      <c r="L937">
        <v>944.54</v>
      </c>
      <c r="M937">
        <v>245.55</v>
      </c>
      <c r="N937" t="s">
        <v>53</v>
      </c>
    </row>
    <row r="938" spans="1:14" x14ac:dyDescent="0.3">
      <c r="A938" t="s">
        <v>992</v>
      </c>
      <c r="B938" s="1">
        <v>45840</v>
      </c>
      <c r="C938" t="s">
        <v>69</v>
      </c>
      <c r="D938" t="s">
        <v>16</v>
      </c>
      <c r="E938" t="s">
        <v>17</v>
      </c>
      <c r="F938" t="s">
        <v>18</v>
      </c>
      <c r="G938" t="s">
        <v>79</v>
      </c>
      <c r="H938">
        <v>3</v>
      </c>
      <c r="I938">
        <v>275.56</v>
      </c>
      <c r="J938" s="13">
        <v>0.03</v>
      </c>
      <c r="K938">
        <v>801.87</v>
      </c>
      <c r="L938">
        <v>539.51</v>
      </c>
      <c r="M938">
        <v>262.36</v>
      </c>
      <c r="N938" t="s">
        <v>26</v>
      </c>
    </row>
    <row r="939" spans="1:14" x14ac:dyDescent="0.3">
      <c r="A939" t="s">
        <v>993</v>
      </c>
      <c r="B939" s="1">
        <v>45791</v>
      </c>
      <c r="C939" t="s">
        <v>40</v>
      </c>
      <c r="D939" t="s">
        <v>31</v>
      </c>
      <c r="E939" t="s">
        <v>24</v>
      </c>
      <c r="F939" t="s">
        <v>45</v>
      </c>
      <c r="G939" t="s">
        <v>56</v>
      </c>
      <c r="H939">
        <v>1</v>
      </c>
      <c r="I939">
        <v>113.32</v>
      </c>
      <c r="J939" s="13">
        <v>0</v>
      </c>
      <c r="K939">
        <v>113.32</v>
      </c>
      <c r="L939">
        <v>80.67</v>
      </c>
      <c r="M939">
        <v>32.65</v>
      </c>
      <c r="N939" t="s">
        <v>72</v>
      </c>
    </row>
    <row r="940" spans="1:14" x14ac:dyDescent="0.3">
      <c r="A940" t="s">
        <v>994</v>
      </c>
      <c r="B940" s="1">
        <v>45969</v>
      </c>
      <c r="C940" t="s">
        <v>28</v>
      </c>
      <c r="D940" t="s">
        <v>23</v>
      </c>
      <c r="E940" t="s">
        <v>24</v>
      </c>
      <c r="F940" t="s">
        <v>18</v>
      </c>
      <c r="G940" t="s">
        <v>56</v>
      </c>
      <c r="H940">
        <v>2</v>
      </c>
      <c r="I940">
        <v>1019.98</v>
      </c>
      <c r="J940" s="13">
        <v>0</v>
      </c>
      <c r="K940">
        <v>2039.95</v>
      </c>
      <c r="L940">
        <v>1274.49</v>
      </c>
      <c r="M940">
        <v>765.46</v>
      </c>
      <c r="N940" t="s">
        <v>60</v>
      </c>
    </row>
    <row r="941" spans="1:14" x14ac:dyDescent="0.3">
      <c r="A941" t="s">
        <v>995</v>
      </c>
      <c r="B941" s="1">
        <v>45867</v>
      </c>
      <c r="C941" t="s">
        <v>59</v>
      </c>
      <c r="D941" t="s">
        <v>41</v>
      </c>
      <c r="E941" t="s">
        <v>24</v>
      </c>
      <c r="F941" t="s">
        <v>18</v>
      </c>
      <c r="G941" t="s">
        <v>19</v>
      </c>
      <c r="H941">
        <v>1</v>
      </c>
      <c r="I941">
        <v>30.91</v>
      </c>
      <c r="J941" s="13">
        <v>0</v>
      </c>
      <c r="K941">
        <v>30.91</v>
      </c>
      <c r="L941">
        <v>22.23</v>
      </c>
      <c r="M941">
        <v>8.68</v>
      </c>
      <c r="N941" t="s">
        <v>26</v>
      </c>
    </row>
    <row r="942" spans="1:14" x14ac:dyDescent="0.3">
      <c r="A942" t="s">
        <v>996</v>
      </c>
      <c r="B942" s="1">
        <v>45692</v>
      </c>
      <c r="C942" t="s">
        <v>22</v>
      </c>
      <c r="D942" t="s">
        <v>31</v>
      </c>
      <c r="E942" t="s">
        <v>44</v>
      </c>
      <c r="F942" t="s">
        <v>18</v>
      </c>
      <c r="G942" t="s">
        <v>56</v>
      </c>
      <c r="H942">
        <v>3</v>
      </c>
      <c r="I942">
        <v>81.42</v>
      </c>
      <c r="J942" s="13">
        <v>0</v>
      </c>
      <c r="K942">
        <v>244.27</v>
      </c>
      <c r="L942">
        <v>151.02000000000001</v>
      </c>
      <c r="M942">
        <v>93.25</v>
      </c>
      <c r="N942" t="s">
        <v>102</v>
      </c>
    </row>
    <row r="943" spans="1:14" x14ac:dyDescent="0.3">
      <c r="A943" t="s">
        <v>997</v>
      </c>
      <c r="B943" s="1">
        <v>45785</v>
      </c>
      <c r="C943" t="s">
        <v>67</v>
      </c>
      <c r="D943" t="s">
        <v>23</v>
      </c>
      <c r="E943" t="s">
        <v>44</v>
      </c>
      <c r="F943" t="s">
        <v>32</v>
      </c>
      <c r="G943" t="s">
        <v>56</v>
      </c>
      <c r="H943">
        <v>7</v>
      </c>
      <c r="I943">
        <v>187.54</v>
      </c>
      <c r="J943" s="13">
        <v>0.05</v>
      </c>
      <c r="K943">
        <v>1247.1300000000001</v>
      </c>
      <c r="L943">
        <v>991.13</v>
      </c>
      <c r="M943">
        <v>256</v>
      </c>
      <c r="N943" t="s">
        <v>72</v>
      </c>
    </row>
    <row r="944" spans="1:14" x14ac:dyDescent="0.3">
      <c r="A944" t="s">
        <v>998</v>
      </c>
      <c r="B944" s="1">
        <v>45925</v>
      </c>
      <c r="C944" t="s">
        <v>36</v>
      </c>
      <c r="D944" t="s">
        <v>31</v>
      </c>
      <c r="E944" t="s">
        <v>17</v>
      </c>
      <c r="F944" t="s">
        <v>32</v>
      </c>
      <c r="G944" t="s">
        <v>25</v>
      </c>
      <c r="H944">
        <v>3</v>
      </c>
      <c r="I944">
        <v>141.5</v>
      </c>
      <c r="J944" s="13">
        <v>0.05</v>
      </c>
      <c r="K944">
        <v>403.29</v>
      </c>
      <c r="L944">
        <v>272.82</v>
      </c>
      <c r="M944">
        <v>130.47</v>
      </c>
      <c r="N944" t="s">
        <v>38</v>
      </c>
    </row>
    <row r="945" spans="1:14" x14ac:dyDescent="0.3">
      <c r="A945" t="s">
        <v>999</v>
      </c>
      <c r="B945" s="1">
        <v>45716</v>
      </c>
      <c r="C945" t="s">
        <v>69</v>
      </c>
      <c r="D945" t="s">
        <v>16</v>
      </c>
      <c r="E945" t="s">
        <v>17</v>
      </c>
      <c r="F945" t="s">
        <v>18</v>
      </c>
      <c r="G945" t="s">
        <v>33</v>
      </c>
      <c r="H945">
        <v>2</v>
      </c>
      <c r="I945">
        <v>265.95999999999998</v>
      </c>
      <c r="J945" s="13">
        <v>0</v>
      </c>
      <c r="K945">
        <v>531.91</v>
      </c>
      <c r="L945">
        <v>370.39</v>
      </c>
      <c r="M945">
        <v>161.52000000000001</v>
      </c>
      <c r="N945" t="s">
        <v>102</v>
      </c>
    </row>
    <row r="946" spans="1:14" x14ac:dyDescent="0.3">
      <c r="A946" t="s">
        <v>1000</v>
      </c>
      <c r="B946" s="1">
        <v>45945</v>
      </c>
      <c r="C946" t="s">
        <v>30</v>
      </c>
      <c r="D946" t="s">
        <v>31</v>
      </c>
      <c r="E946" t="s">
        <v>17</v>
      </c>
      <c r="F946" t="s">
        <v>45</v>
      </c>
      <c r="G946" t="s">
        <v>33</v>
      </c>
      <c r="H946">
        <v>5</v>
      </c>
      <c r="I946">
        <v>54.47</v>
      </c>
      <c r="J946" s="13">
        <v>0.05</v>
      </c>
      <c r="K946">
        <v>258.74</v>
      </c>
      <c r="L946">
        <v>163.24</v>
      </c>
      <c r="M946">
        <v>95.5</v>
      </c>
      <c r="N946" t="s">
        <v>51</v>
      </c>
    </row>
    <row r="947" spans="1:14" x14ac:dyDescent="0.3">
      <c r="A947" t="s">
        <v>1001</v>
      </c>
      <c r="B947" s="1">
        <v>45975</v>
      </c>
      <c r="C947" t="s">
        <v>28</v>
      </c>
      <c r="D947" t="s">
        <v>41</v>
      </c>
      <c r="E947" t="s">
        <v>17</v>
      </c>
      <c r="F947" t="s">
        <v>18</v>
      </c>
      <c r="G947" t="s">
        <v>56</v>
      </c>
      <c r="H947">
        <v>2</v>
      </c>
      <c r="I947">
        <v>856.01</v>
      </c>
      <c r="J947" s="13">
        <v>0.05</v>
      </c>
      <c r="K947">
        <v>1626.42</v>
      </c>
      <c r="L947">
        <v>1243.07</v>
      </c>
      <c r="M947">
        <v>383.35</v>
      </c>
      <c r="N947" t="s">
        <v>60</v>
      </c>
    </row>
    <row r="948" spans="1:14" x14ac:dyDescent="0.3">
      <c r="A948" t="s">
        <v>1002</v>
      </c>
      <c r="B948" s="1">
        <v>45931</v>
      </c>
      <c r="C948" t="s">
        <v>36</v>
      </c>
      <c r="D948" t="s">
        <v>41</v>
      </c>
      <c r="E948" t="s">
        <v>17</v>
      </c>
      <c r="F948" t="s">
        <v>18</v>
      </c>
      <c r="G948" t="s">
        <v>37</v>
      </c>
      <c r="H948">
        <v>5</v>
      </c>
      <c r="I948">
        <v>156.97999999999999</v>
      </c>
      <c r="J948" s="13">
        <v>0.1</v>
      </c>
      <c r="K948">
        <v>706.42</v>
      </c>
      <c r="L948">
        <v>608.86</v>
      </c>
      <c r="M948">
        <v>97.56</v>
      </c>
      <c r="N948" t="s">
        <v>51</v>
      </c>
    </row>
    <row r="949" spans="1:14" x14ac:dyDescent="0.3">
      <c r="A949" t="s">
        <v>1003</v>
      </c>
      <c r="B949" s="1">
        <v>45783</v>
      </c>
      <c r="C949" t="s">
        <v>69</v>
      </c>
      <c r="D949" t="s">
        <v>16</v>
      </c>
      <c r="E949" t="s">
        <v>17</v>
      </c>
      <c r="F949" t="s">
        <v>32</v>
      </c>
      <c r="G949" t="s">
        <v>46</v>
      </c>
      <c r="H949">
        <v>1</v>
      </c>
      <c r="I949">
        <v>262.12</v>
      </c>
      <c r="J949" s="13">
        <v>0.03</v>
      </c>
      <c r="K949">
        <v>254.25</v>
      </c>
      <c r="L949">
        <v>163.05000000000001</v>
      </c>
      <c r="M949">
        <v>91.2</v>
      </c>
      <c r="N949" t="s">
        <v>72</v>
      </c>
    </row>
    <row r="950" spans="1:14" x14ac:dyDescent="0.3">
      <c r="A950" t="s">
        <v>1004</v>
      </c>
      <c r="B950" s="1">
        <v>45984</v>
      </c>
      <c r="C950" t="s">
        <v>67</v>
      </c>
      <c r="D950" t="s">
        <v>23</v>
      </c>
      <c r="E950" t="s">
        <v>24</v>
      </c>
      <c r="F950" t="s">
        <v>18</v>
      </c>
      <c r="G950" t="s">
        <v>46</v>
      </c>
      <c r="H950">
        <v>4</v>
      </c>
      <c r="I950">
        <v>171.53</v>
      </c>
      <c r="J950" s="13">
        <v>0.03</v>
      </c>
      <c r="K950">
        <v>665.54</v>
      </c>
      <c r="L950">
        <v>481.86</v>
      </c>
      <c r="M950">
        <v>183.68</v>
      </c>
      <c r="N950" t="s">
        <v>60</v>
      </c>
    </row>
    <row r="951" spans="1:14" x14ac:dyDescent="0.3">
      <c r="A951" t="s">
        <v>1005</v>
      </c>
      <c r="B951" s="1">
        <v>45930</v>
      </c>
      <c r="C951" t="s">
        <v>69</v>
      </c>
      <c r="D951" t="s">
        <v>31</v>
      </c>
      <c r="E951" t="s">
        <v>17</v>
      </c>
      <c r="F951" t="s">
        <v>18</v>
      </c>
      <c r="G951" t="s">
        <v>19</v>
      </c>
      <c r="H951">
        <v>3</v>
      </c>
      <c r="I951">
        <v>301.60000000000002</v>
      </c>
      <c r="J951" s="13">
        <v>0</v>
      </c>
      <c r="K951">
        <v>904.8</v>
      </c>
      <c r="L951">
        <v>530.87</v>
      </c>
      <c r="M951">
        <v>373.93</v>
      </c>
      <c r="N951" t="s">
        <v>38</v>
      </c>
    </row>
    <row r="952" spans="1:14" x14ac:dyDescent="0.3">
      <c r="A952" t="s">
        <v>1006</v>
      </c>
      <c r="B952" s="1">
        <v>45861</v>
      </c>
      <c r="C952" t="s">
        <v>43</v>
      </c>
      <c r="D952" t="s">
        <v>31</v>
      </c>
      <c r="E952" t="s">
        <v>24</v>
      </c>
      <c r="F952" t="s">
        <v>18</v>
      </c>
      <c r="G952" t="s">
        <v>46</v>
      </c>
      <c r="H952">
        <v>2</v>
      </c>
      <c r="I952">
        <v>666.32</v>
      </c>
      <c r="J952" s="13">
        <v>0.05</v>
      </c>
      <c r="K952">
        <v>1266.01</v>
      </c>
      <c r="L952">
        <v>998.76</v>
      </c>
      <c r="M952">
        <v>267.25</v>
      </c>
      <c r="N952" t="s">
        <v>26</v>
      </c>
    </row>
    <row r="953" spans="1:14" x14ac:dyDescent="0.3">
      <c r="A953" t="s">
        <v>1007</v>
      </c>
      <c r="B953" s="1">
        <v>45909</v>
      </c>
      <c r="C953" t="s">
        <v>15</v>
      </c>
      <c r="D953" t="s">
        <v>23</v>
      </c>
      <c r="E953" t="s">
        <v>44</v>
      </c>
      <c r="F953" t="s">
        <v>32</v>
      </c>
      <c r="G953" t="s">
        <v>25</v>
      </c>
      <c r="H953">
        <v>4</v>
      </c>
      <c r="I953">
        <v>74.05</v>
      </c>
      <c r="J953" s="13">
        <v>0</v>
      </c>
      <c r="K953">
        <v>296.22000000000003</v>
      </c>
      <c r="L953">
        <v>202.66</v>
      </c>
      <c r="M953">
        <v>93.56</v>
      </c>
      <c r="N953" t="s">
        <v>38</v>
      </c>
    </row>
    <row r="954" spans="1:14" x14ac:dyDescent="0.3">
      <c r="A954" t="s">
        <v>1008</v>
      </c>
      <c r="B954" s="1">
        <v>45704</v>
      </c>
      <c r="C954" t="s">
        <v>28</v>
      </c>
      <c r="D954" t="s">
        <v>31</v>
      </c>
      <c r="E954" t="s">
        <v>24</v>
      </c>
      <c r="F954" t="s">
        <v>18</v>
      </c>
      <c r="G954" t="s">
        <v>25</v>
      </c>
      <c r="H954">
        <v>4</v>
      </c>
      <c r="I954">
        <v>1012.42</v>
      </c>
      <c r="J954" s="13">
        <v>0.03</v>
      </c>
      <c r="K954">
        <v>3928.19</v>
      </c>
      <c r="L954">
        <v>2922.8</v>
      </c>
      <c r="M954">
        <v>1005.39</v>
      </c>
      <c r="N954" t="s">
        <v>102</v>
      </c>
    </row>
    <row r="955" spans="1:14" x14ac:dyDescent="0.3">
      <c r="A955" t="s">
        <v>1009</v>
      </c>
      <c r="B955" s="1">
        <v>45811</v>
      </c>
      <c r="C955" t="s">
        <v>43</v>
      </c>
      <c r="D955" t="s">
        <v>31</v>
      </c>
      <c r="E955" t="s">
        <v>44</v>
      </c>
      <c r="F955" t="s">
        <v>32</v>
      </c>
      <c r="G955" t="s">
        <v>33</v>
      </c>
      <c r="H955">
        <v>5</v>
      </c>
      <c r="I955">
        <v>652.03</v>
      </c>
      <c r="J955" s="13">
        <v>0.05</v>
      </c>
      <c r="K955">
        <v>3097.14</v>
      </c>
      <c r="L955">
        <v>2533.7399999999998</v>
      </c>
      <c r="M955">
        <v>563.4</v>
      </c>
      <c r="N955" t="s">
        <v>76</v>
      </c>
    </row>
    <row r="956" spans="1:14" x14ac:dyDescent="0.3">
      <c r="A956" t="s">
        <v>1010</v>
      </c>
      <c r="B956" s="1">
        <v>45937</v>
      </c>
      <c r="C956" t="s">
        <v>59</v>
      </c>
      <c r="D956" t="s">
        <v>23</v>
      </c>
      <c r="E956" t="s">
        <v>17</v>
      </c>
      <c r="F956" t="s">
        <v>45</v>
      </c>
      <c r="G956" t="s">
        <v>56</v>
      </c>
      <c r="H956">
        <v>4</v>
      </c>
      <c r="I956">
        <v>34.35</v>
      </c>
      <c r="J956" s="13">
        <v>0.3</v>
      </c>
      <c r="K956">
        <v>123.65</v>
      </c>
      <c r="L956">
        <v>93.29</v>
      </c>
      <c r="M956">
        <v>30.36</v>
      </c>
      <c r="N956" t="s">
        <v>51</v>
      </c>
    </row>
    <row r="957" spans="1:14" x14ac:dyDescent="0.3">
      <c r="A957" t="s">
        <v>1011</v>
      </c>
      <c r="B957" s="1">
        <v>45719</v>
      </c>
      <c r="C957" t="s">
        <v>67</v>
      </c>
      <c r="D957" t="s">
        <v>41</v>
      </c>
      <c r="E957" t="s">
        <v>17</v>
      </c>
      <c r="F957" t="s">
        <v>45</v>
      </c>
      <c r="G957" t="s">
        <v>56</v>
      </c>
      <c r="H957">
        <v>6</v>
      </c>
      <c r="I957">
        <v>175.79</v>
      </c>
      <c r="J957" s="13">
        <v>0.1</v>
      </c>
      <c r="K957">
        <v>949.24</v>
      </c>
      <c r="L957">
        <v>709.73</v>
      </c>
      <c r="M957">
        <v>239.51</v>
      </c>
      <c r="N957" t="s">
        <v>53</v>
      </c>
    </row>
    <row r="958" spans="1:14" x14ac:dyDescent="0.3">
      <c r="A958" t="s">
        <v>1012</v>
      </c>
      <c r="B958" s="1">
        <v>45998</v>
      </c>
      <c r="C958" t="s">
        <v>36</v>
      </c>
      <c r="D958" t="s">
        <v>31</v>
      </c>
      <c r="E958" t="s">
        <v>17</v>
      </c>
      <c r="F958" t="s">
        <v>18</v>
      </c>
      <c r="G958" t="s">
        <v>56</v>
      </c>
      <c r="H958">
        <v>2</v>
      </c>
      <c r="I958">
        <v>142.05000000000001</v>
      </c>
      <c r="J958" s="13">
        <v>0</v>
      </c>
      <c r="K958">
        <v>284.11</v>
      </c>
      <c r="L958">
        <v>183.84</v>
      </c>
      <c r="M958">
        <v>100.27</v>
      </c>
      <c r="N958" t="s">
        <v>70</v>
      </c>
    </row>
    <row r="959" spans="1:14" x14ac:dyDescent="0.3">
      <c r="A959" t="s">
        <v>1013</v>
      </c>
      <c r="B959" s="1">
        <v>45765</v>
      </c>
      <c r="C959" t="s">
        <v>69</v>
      </c>
      <c r="D959" t="s">
        <v>23</v>
      </c>
      <c r="E959" t="s">
        <v>17</v>
      </c>
      <c r="F959" t="s">
        <v>45</v>
      </c>
      <c r="G959" t="s">
        <v>25</v>
      </c>
      <c r="H959">
        <v>7</v>
      </c>
      <c r="I959">
        <v>278.19</v>
      </c>
      <c r="J959" s="13">
        <v>0.1</v>
      </c>
      <c r="K959">
        <v>1752.63</v>
      </c>
      <c r="L959">
        <v>1445.39</v>
      </c>
      <c r="M959">
        <v>307.24</v>
      </c>
      <c r="N959" t="s">
        <v>63</v>
      </c>
    </row>
    <row r="960" spans="1:14" x14ac:dyDescent="0.3">
      <c r="A960" t="s">
        <v>1014</v>
      </c>
      <c r="B960" s="1">
        <v>45892</v>
      </c>
      <c r="C960" t="s">
        <v>43</v>
      </c>
      <c r="D960" t="s">
        <v>31</v>
      </c>
      <c r="E960" t="s">
        <v>17</v>
      </c>
      <c r="F960" t="s">
        <v>18</v>
      </c>
      <c r="G960" t="s">
        <v>50</v>
      </c>
      <c r="H960">
        <v>3</v>
      </c>
      <c r="I960">
        <v>661.43</v>
      </c>
      <c r="J960" s="13">
        <v>0.1</v>
      </c>
      <c r="K960">
        <v>1785.87</v>
      </c>
      <c r="L960">
        <v>1481.63</v>
      </c>
      <c r="M960">
        <v>304.24</v>
      </c>
      <c r="N960" t="s">
        <v>20</v>
      </c>
    </row>
    <row r="961" spans="1:14" x14ac:dyDescent="0.3">
      <c r="A961" t="s">
        <v>1015</v>
      </c>
      <c r="B961" s="1">
        <v>46005</v>
      </c>
      <c r="C961" t="s">
        <v>43</v>
      </c>
      <c r="D961" t="s">
        <v>41</v>
      </c>
      <c r="E961" t="s">
        <v>44</v>
      </c>
      <c r="F961" t="s">
        <v>32</v>
      </c>
      <c r="G961" t="s">
        <v>46</v>
      </c>
      <c r="H961">
        <v>2</v>
      </c>
      <c r="I961">
        <v>662.57</v>
      </c>
      <c r="J961" s="13">
        <v>0</v>
      </c>
      <c r="K961">
        <v>1325.14</v>
      </c>
      <c r="L961">
        <v>934.53</v>
      </c>
      <c r="M961">
        <v>390.61</v>
      </c>
      <c r="N961" t="s">
        <v>70</v>
      </c>
    </row>
    <row r="962" spans="1:14" x14ac:dyDescent="0.3">
      <c r="A962" t="s">
        <v>1016</v>
      </c>
      <c r="B962" s="1">
        <v>45756</v>
      </c>
      <c r="C962" t="s">
        <v>69</v>
      </c>
      <c r="D962" t="s">
        <v>41</v>
      </c>
      <c r="E962" t="s">
        <v>24</v>
      </c>
      <c r="F962" t="s">
        <v>18</v>
      </c>
      <c r="G962" t="s">
        <v>79</v>
      </c>
      <c r="H962">
        <v>2</v>
      </c>
      <c r="I962">
        <v>260.75</v>
      </c>
      <c r="J962" s="13">
        <v>0.03</v>
      </c>
      <c r="K962">
        <v>505.86</v>
      </c>
      <c r="L962">
        <v>380.03</v>
      </c>
      <c r="M962">
        <v>125.83</v>
      </c>
      <c r="N962" t="s">
        <v>63</v>
      </c>
    </row>
    <row r="963" spans="1:14" x14ac:dyDescent="0.3">
      <c r="A963" t="s">
        <v>1017</v>
      </c>
      <c r="B963" s="1">
        <v>46000</v>
      </c>
      <c r="C963" t="s">
        <v>104</v>
      </c>
      <c r="D963" t="s">
        <v>23</v>
      </c>
      <c r="E963" t="s">
        <v>44</v>
      </c>
      <c r="F963" t="s">
        <v>45</v>
      </c>
      <c r="G963" t="s">
        <v>25</v>
      </c>
      <c r="H963">
        <v>2</v>
      </c>
      <c r="I963">
        <v>88.55</v>
      </c>
      <c r="J963" s="13">
        <v>0.03</v>
      </c>
      <c r="K963">
        <v>171.79</v>
      </c>
      <c r="L963">
        <v>123.52</v>
      </c>
      <c r="M963">
        <v>48.27</v>
      </c>
      <c r="N963" t="s">
        <v>70</v>
      </c>
    </row>
    <row r="964" spans="1:14" x14ac:dyDescent="0.3">
      <c r="A964" t="s">
        <v>1018</v>
      </c>
      <c r="B964" s="1">
        <v>45937</v>
      </c>
      <c r="C964" t="s">
        <v>43</v>
      </c>
      <c r="D964" t="s">
        <v>16</v>
      </c>
      <c r="E964" t="s">
        <v>17</v>
      </c>
      <c r="F964" t="s">
        <v>18</v>
      </c>
      <c r="G964" t="s">
        <v>19</v>
      </c>
      <c r="H964">
        <v>3</v>
      </c>
      <c r="I964">
        <v>599.32000000000005</v>
      </c>
      <c r="J964" s="13">
        <v>0</v>
      </c>
      <c r="K964">
        <v>1797.97</v>
      </c>
      <c r="L964">
        <v>1260.74</v>
      </c>
      <c r="M964">
        <v>537.23</v>
      </c>
      <c r="N964" t="s">
        <v>51</v>
      </c>
    </row>
    <row r="965" spans="1:14" x14ac:dyDescent="0.3">
      <c r="A965" t="s">
        <v>1019</v>
      </c>
      <c r="B965" s="1">
        <v>45827</v>
      </c>
      <c r="C965" t="s">
        <v>22</v>
      </c>
      <c r="D965" t="s">
        <v>16</v>
      </c>
      <c r="E965" t="s">
        <v>17</v>
      </c>
      <c r="F965" t="s">
        <v>18</v>
      </c>
      <c r="G965" t="s">
        <v>46</v>
      </c>
      <c r="H965">
        <v>2</v>
      </c>
      <c r="I965">
        <v>86.53</v>
      </c>
      <c r="J965" s="13">
        <v>0.1</v>
      </c>
      <c r="K965">
        <v>155.75</v>
      </c>
      <c r="L965">
        <v>133.49</v>
      </c>
      <c r="M965">
        <v>22.26</v>
      </c>
      <c r="N965" t="s">
        <v>76</v>
      </c>
    </row>
    <row r="966" spans="1:14" x14ac:dyDescent="0.3">
      <c r="A966" t="s">
        <v>1020</v>
      </c>
      <c r="B966" s="1">
        <v>45844</v>
      </c>
      <c r="C966" t="s">
        <v>48</v>
      </c>
      <c r="D966" t="s">
        <v>31</v>
      </c>
      <c r="E966" t="s">
        <v>24</v>
      </c>
      <c r="F966" t="s">
        <v>32</v>
      </c>
      <c r="G966" t="s">
        <v>79</v>
      </c>
      <c r="H966">
        <v>2</v>
      </c>
      <c r="I966">
        <v>363.85</v>
      </c>
      <c r="J966" s="13">
        <v>0</v>
      </c>
      <c r="K966">
        <v>727.71</v>
      </c>
      <c r="L966">
        <v>422.3</v>
      </c>
      <c r="M966">
        <v>305.41000000000003</v>
      </c>
      <c r="N966" t="s">
        <v>26</v>
      </c>
    </row>
    <row r="967" spans="1:14" x14ac:dyDescent="0.3">
      <c r="A967" t="s">
        <v>1021</v>
      </c>
      <c r="B967" s="1">
        <v>45865</v>
      </c>
      <c r="C967" t="s">
        <v>104</v>
      </c>
      <c r="D967" t="s">
        <v>31</v>
      </c>
      <c r="E967" t="s">
        <v>24</v>
      </c>
      <c r="F967" t="s">
        <v>45</v>
      </c>
      <c r="G967" t="s">
        <v>25</v>
      </c>
      <c r="H967">
        <v>1</v>
      </c>
      <c r="I967">
        <v>88.04</v>
      </c>
      <c r="J967" s="13">
        <v>0.1</v>
      </c>
      <c r="K967">
        <v>79.23</v>
      </c>
      <c r="L967">
        <v>61.11</v>
      </c>
      <c r="M967">
        <v>18.12</v>
      </c>
      <c r="N967" t="s">
        <v>26</v>
      </c>
    </row>
    <row r="968" spans="1:14" x14ac:dyDescent="0.3">
      <c r="A968" t="s">
        <v>1022</v>
      </c>
      <c r="B968" s="1">
        <v>45662</v>
      </c>
      <c r="C968" t="s">
        <v>40</v>
      </c>
      <c r="D968" t="s">
        <v>31</v>
      </c>
      <c r="E968" t="s">
        <v>24</v>
      </c>
      <c r="F968" t="s">
        <v>18</v>
      </c>
      <c r="G968" t="s">
        <v>46</v>
      </c>
      <c r="H968">
        <v>2</v>
      </c>
      <c r="I968">
        <v>118.97</v>
      </c>
      <c r="J968" s="13">
        <v>0.1</v>
      </c>
      <c r="K968">
        <v>214.15</v>
      </c>
      <c r="L968">
        <v>150.78</v>
      </c>
      <c r="M968">
        <v>63.37</v>
      </c>
      <c r="N968" t="s">
        <v>34</v>
      </c>
    </row>
    <row r="969" spans="1:14" x14ac:dyDescent="0.3">
      <c r="A969" t="s">
        <v>1023</v>
      </c>
      <c r="B969" s="1">
        <v>45885</v>
      </c>
      <c r="C969" t="s">
        <v>22</v>
      </c>
      <c r="D969" t="s">
        <v>23</v>
      </c>
      <c r="E969" t="s">
        <v>17</v>
      </c>
      <c r="F969" t="s">
        <v>45</v>
      </c>
      <c r="G969" t="s">
        <v>46</v>
      </c>
      <c r="H969">
        <v>2</v>
      </c>
      <c r="I969">
        <v>77.290000000000006</v>
      </c>
      <c r="J969" s="13">
        <v>0.05</v>
      </c>
      <c r="K969">
        <v>146.84</v>
      </c>
      <c r="L969">
        <v>102.63</v>
      </c>
      <c r="M969">
        <v>44.21</v>
      </c>
      <c r="N969" t="s">
        <v>20</v>
      </c>
    </row>
    <row r="970" spans="1:14" x14ac:dyDescent="0.3">
      <c r="A970" t="s">
        <v>1024</v>
      </c>
      <c r="B970" s="1">
        <v>45882</v>
      </c>
      <c r="C970" t="s">
        <v>59</v>
      </c>
      <c r="D970" t="s">
        <v>41</v>
      </c>
      <c r="E970" t="s">
        <v>44</v>
      </c>
      <c r="F970" t="s">
        <v>18</v>
      </c>
      <c r="G970" t="s">
        <v>50</v>
      </c>
      <c r="H970">
        <v>4</v>
      </c>
      <c r="I970">
        <v>30.12</v>
      </c>
      <c r="J970" s="13">
        <v>0.03</v>
      </c>
      <c r="K970">
        <v>116.88</v>
      </c>
      <c r="L970">
        <v>74.22</v>
      </c>
      <c r="M970">
        <v>42.66</v>
      </c>
      <c r="N970" t="s">
        <v>20</v>
      </c>
    </row>
    <row r="971" spans="1:14" x14ac:dyDescent="0.3">
      <c r="A971" t="s">
        <v>1025</v>
      </c>
      <c r="B971" s="1">
        <v>45713</v>
      </c>
      <c r="C971" t="s">
        <v>67</v>
      </c>
      <c r="D971" t="s">
        <v>16</v>
      </c>
      <c r="E971" t="s">
        <v>17</v>
      </c>
      <c r="F971" t="s">
        <v>18</v>
      </c>
      <c r="G971" t="s">
        <v>50</v>
      </c>
      <c r="H971">
        <v>1</v>
      </c>
      <c r="I971">
        <v>196.59</v>
      </c>
      <c r="J971" s="13">
        <v>0.05</v>
      </c>
      <c r="K971">
        <v>186.76</v>
      </c>
      <c r="L971">
        <v>131.38999999999999</v>
      </c>
      <c r="M971">
        <v>55.37</v>
      </c>
      <c r="N971" t="s">
        <v>102</v>
      </c>
    </row>
    <row r="972" spans="1:14" x14ac:dyDescent="0.3">
      <c r="A972" t="s">
        <v>1026</v>
      </c>
      <c r="B972" s="1">
        <v>45927</v>
      </c>
      <c r="C972" t="s">
        <v>30</v>
      </c>
      <c r="D972" t="s">
        <v>16</v>
      </c>
      <c r="E972" t="s">
        <v>44</v>
      </c>
      <c r="F972" t="s">
        <v>18</v>
      </c>
      <c r="G972" t="s">
        <v>46</v>
      </c>
      <c r="H972">
        <v>4</v>
      </c>
      <c r="I972">
        <v>57.67</v>
      </c>
      <c r="J972" s="13">
        <v>0.1</v>
      </c>
      <c r="K972">
        <v>207.62</v>
      </c>
      <c r="L972">
        <v>158.38</v>
      </c>
      <c r="M972">
        <v>49.24</v>
      </c>
      <c r="N972" t="s">
        <v>38</v>
      </c>
    </row>
    <row r="973" spans="1:14" x14ac:dyDescent="0.3">
      <c r="A973" t="s">
        <v>1027</v>
      </c>
      <c r="B973" s="1">
        <v>45669</v>
      </c>
      <c r="C973" t="s">
        <v>104</v>
      </c>
      <c r="D973" t="s">
        <v>23</v>
      </c>
      <c r="E973" t="s">
        <v>24</v>
      </c>
      <c r="F973" t="s">
        <v>32</v>
      </c>
      <c r="G973" t="s">
        <v>56</v>
      </c>
      <c r="H973">
        <v>1</v>
      </c>
      <c r="I973">
        <v>91.1</v>
      </c>
      <c r="J973" s="13">
        <v>0</v>
      </c>
      <c r="K973">
        <v>91.1</v>
      </c>
      <c r="L973">
        <v>57.98</v>
      </c>
      <c r="M973">
        <v>33.119999999999997</v>
      </c>
      <c r="N973" t="s">
        <v>34</v>
      </c>
    </row>
    <row r="974" spans="1:14" x14ac:dyDescent="0.3">
      <c r="A974" t="s">
        <v>1028</v>
      </c>
      <c r="B974" s="1">
        <v>45958</v>
      </c>
      <c r="C974" t="s">
        <v>22</v>
      </c>
      <c r="D974" t="s">
        <v>31</v>
      </c>
      <c r="E974" t="s">
        <v>24</v>
      </c>
      <c r="F974" t="s">
        <v>18</v>
      </c>
      <c r="G974" t="s">
        <v>33</v>
      </c>
      <c r="H974">
        <v>4</v>
      </c>
      <c r="I974">
        <v>85.38</v>
      </c>
      <c r="J974" s="13">
        <v>0</v>
      </c>
      <c r="K974">
        <v>341.53</v>
      </c>
      <c r="L974">
        <v>224.86</v>
      </c>
      <c r="M974">
        <v>116.67</v>
      </c>
      <c r="N974" t="s">
        <v>51</v>
      </c>
    </row>
    <row r="975" spans="1:14" x14ac:dyDescent="0.3">
      <c r="A975" t="s">
        <v>1029</v>
      </c>
      <c r="B975" s="1">
        <v>45733</v>
      </c>
      <c r="C975" t="s">
        <v>22</v>
      </c>
      <c r="D975" t="s">
        <v>23</v>
      </c>
      <c r="E975" t="s">
        <v>44</v>
      </c>
      <c r="F975" t="s">
        <v>18</v>
      </c>
      <c r="G975" t="s">
        <v>19</v>
      </c>
      <c r="H975">
        <v>1</v>
      </c>
      <c r="I975">
        <v>89.52</v>
      </c>
      <c r="J975" s="13">
        <v>0.05</v>
      </c>
      <c r="K975">
        <v>85.04</v>
      </c>
      <c r="L975">
        <v>56.07</v>
      </c>
      <c r="M975">
        <v>28.97</v>
      </c>
      <c r="N975" t="s">
        <v>53</v>
      </c>
    </row>
    <row r="976" spans="1:14" x14ac:dyDescent="0.3">
      <c r="A976" t="s">
        <v>1030</v>
      </c>
      <c r="B976" s="1">
        <v>45818</v>
      </c>
      <c r="C976" t="s">
        <v>43</v>
      </c>
      <c r="D976" t="s">
        <v>16</v>
      </c>
      <c r="E976" t="s">
        <v>24</v>
      </c>
      <c r="F976" t="s">
        <v>32</v>
      </c>
      <c r="G976" t="s">
        <v>79</v>
      </c>
      <c r="H976">
        <v>2</v>
      </c>
      <c r="I976">
        <v>665.57</v>
      </c>
      <c r="J976" s="13">
        <v>0.03</v>
      </c>
      <c r="K976">
        <v>1291.2</v>
      </c>
      <c r="L976">
        <v>885.62</v>
      </c>
      <c r="M976">
        <v>405.58</v>
      </c>
      <c r="N976" t="s">
        <v>76</v>
      </c>
    </row>
    <row r="977" spans="1:14" x14ac:dyDescent="0.3">
      <c r="A977" t="s">
        <v>1031</v>
      </c>
      <c r="B977" s="1">
        <v>45930</v>
      </c>
      <c r="C977" t="s">
        <v>59</v>
      </c>
      <c r="D977" t="s">
        <v>31</v>
      </c>
      <c r="E977" t="s">
        <v>24</v>
      </c>
      <c r="F977" t="s">
        <v>32</v>
      </c>
      <c r="G977" t="s">
        <v>50</v>
      </c>
      <c r="H977">
        <v>7</v>
      </c>
      <c r="I977">
        <v>30.6</v>
      </c>
      <c r="J977" s="13">
        <v>0</v>
      </c>
      <c r="K977">
        <v>214.17</v>
      </c>
      <c r="L977">
        <v>155.63</v>
      </c>
      <c r="M977">
        <v>58.54</v>
      </c>
      <c r="N977" t="s">
        <v>38</v>
      </c>
    </row>
    <row r="978" spans="1:14" x14ac:dyDescent="0.3">
      <c r="A978" t="s">
        <v>1032</v>
      </c>
      <c r="B978" s="1">
        <v>45705</v>
      </c>
      <c r="C978" t="s">
        <v>30</v>
      </c>
      <c r="D978" t="s">
        <v>31</v>
      </c>
      <c r="E978" t="s">
        <v>44</v>
      </c>
      <c r="F978" t="s">
        <v>32</v>
      </c>
      <c r="G978" t="s">
        <v>33</v>
      </c>
      <c r="H978">
        <v>4</v>
      </c>
      <c r="I978">
        <v>56.67</v>
      </c>
      <c r="J978" s="13">
        <v>0.05</v>
      </c>
      <c r="K978">
        <v>215.34</v>
      </c>
      <c r="L978">
        <v>145.94999999999999</v>
      </c>
      <c r="M978">
        <v>69.39</v>
      </c>
      <c r="N978" t="s">
        <v>102</v>
      </c>
    </row>
    <row r="979" spans="1:14" x14ac:dyDescent="0.3">
      <c r="A979" t="s">
        <v>1033</v>
      </c>
      <c r="B979" s="1">
        <v>45683</v>
      </c>
      <c r="C979" t="s">
        <v>59</v>
      </c>
      <c r="D979" t="s">
        <v>41</v>
      </c>
      <c r="E979" t="s">
        <v>24</v>
      </c>
      <c r="F979" t="s">
        <v>18</v>
      </c>
      <c r="G979" t="s">
        <v>33</v>
      </c>
      <c r="H979">
        <v>3</v>
      </c>
      <c r="I979">
        <v>29.84</v>
      </c>
      <c r="J979" s="13">
        <v>0.1</v>
      </c>
      <c r="K979">
        <v>80.569999999999993</v>
      </c>
      <c r="L979">
        <v>63.77</v>
      </c>
      <c r="M979">
        <v>16.8</v>
      </c>
      <c r="N979" t="s">
        <v>34</v>
      </c>
    </row>
    <row r="980" spans="1:14" x14ac:dyDescent="0.3">
      <c r="A980" t="s">
        <v>1034</v>
      </c>
      <c r="B980" s="1">
        <v>45700</v>
      </c>
      <c r="C980" t="s">
        <v>15</v>
      </c>
      <c r="D980" t="s">
        <v>31</v>
      </c>
      <c r="E980" t="s">
        <v>17</v>
      </c>
      <c r="F980" t="s">
        <v>18</v>
      </c>
      <c r="G980" t="s">
        <v>33</v>
      </c>
      <c r="H980">
        <v>7</v>
      </c>
      <c r="I980">
        <v>76.83</v>
      </c>
      <c r="J980" s="13">
        <v>0</v>
      </c>
      <c r="K980">
        <v>537.79999999999995</v>
      </c>
      <c r="L980">
        <v>353.87</v>
      </c>
      <c r="M980">
        <v>183.93</v>
      </c>
      <c r="N980" t="s">
        <v>102</v>
      </c>
    </row>
    <row r="981" spans="1:14" x14ac:dyDescent="0.3">
      <c r="A981" t="s">
        <v>1035</v>
      </c>
      <c r="B981" s="1">
        <v>45854</v>
      </c>
      <c r="C981" t="s">
        <v>69</v>
      </c>
      <c r="D981" t="s">
        <v>41</v>
      </c>
      <c r="E981" t="s">
        <v>44</v>
      </c>
      <c r="F981" t="s">
        <v>45</v>
      </c>
      <c r="G981" t="s">
        <v>46</v>
      </c>
      <c r="H981">
        <v>3</v>
      </c>
      <c r="I981">
        <v>301.7</v>
      </c>
      <c r="J981" s="13">
        <v>0.1</v>
      </c>
      <c r="K981">
        <v>814.6</v>
      </c>
      <c r="L981">
        <v>631.02</v>
      </c>
      <c r="M981">
        <v>183.58</v>
      </c>
      <c r="N981" t="s">
        <v>26</v>
      </c>
    </row>
    <row r="982" spans="1:14" x14ac:dyDescent="0.3">
      <c r="A982" t="s">
        <v>1036</v>
      </c>
      <c r="B982" s="1">
        <v>45897</v>
      </c>
      <c r="C982" t="s">
        <v>59</v>
      </c>
      <c r="D982" t="s">
        <v>16</v>
      </c>
      <c r="E982" t="s">
        <v>44</v>
      </c>
      <c r="F982" t="s">
        <v>18</v>
      </c>
      <c r="G982" t="s">
        <v>50</v>
      </c>
      <c r="H982">
        <v>5</v>
      </c>
      <c r="I982">
        <v>34.020000000000003</v>
      </c>
      <c r="J982" s="13">
        <v>0.1</v>
      </c>
      <c r="K982">
        <v>153.1</v>
      </c>
      <c r="L982">
        <v>102.59</v>
      </c>
      <c r="M982">
        <v>50.51</v>
      </c>
      <c r="N982" t="s">
        <v>20</v>
      </c>
    </row>
    <row r="983" spans="1:14" x14ac:dyDescent="0.3">
      <c r="A983" t="s">
        <v>1037</v>
      </c>
      <c r="B983" s="1">
        <v>45684</v>
      </c>
      <c r="C983" t="s">
        <v>15</v>
      </c>
      <c r="D983" t="s">
        <v>16</v>
      </c>
      <c r="E983" t="s">
        <v>44</v>
      </c>
      <c r="F983" t="s">
        <v>18</v>
      </c>
      <c r="G983" t="s">
        <v>46</v>
      </c>
      <c r="H983">
        <v>4</v>
      </c>
      <c r="I983">
        <v>73.58</v>
      </c>
      <c r="J983" s="13">
        <v>0</v>
      </c>
      <c r="K983">
        <v>294.33999999999997</v>
      </c>
      <c r="L983">
        <v>205.67</v>
      </c>
      <c r="M983">
        <v>88.67</v>
      </c>
      <c r="N983" t="s">
        <v>34</v>
      </c>
    </row>
    <row r="984" spans="1:14" x14ac:dyDescent="0.3">
      <c r="A984" t="s">
        <v>1038</v>
      </c>
      <c r="B984" s="1">
        <v>45917</v>
      </c>
      <c r="C984" t="s">
        <v>43</v>
      </c>
      <c r="D984" t="s">
        <v>31</v>
      </c>
      <c r="E984" t="s">
        <v>24</v>
      </c>
      <c r="F984" t="s">
        <v>18</v>
      </c>
      <c r="G984" t="s">
        <v>33</v>
      </c>
      <c r="H984">
        <v>5</v>
      </c>
      <c r="I984">
        <v>642.79999999999995</v>
      </c>
      <c r="J984" s="13">
        <v>0.03</v>
      </c>
      <c r="K984">
        <v>3117.56</v>
      </c>
      <c r="L984">
        <v>1915.01</v>
      </c>
      <c r="M984">
        <v>1202.55</v>
      </c>
      <c r="N984" t="s">
        <v>38</v>
      </c>
    </row>
    <row r="985" spans="1:14" x14ac:dyDescent="0.3">
      <c r="A985" t="s">
        <v>1039</v>
      </c>
      <c r="B985" s="1">
        <v>45806</v>
      </c>
      <c r="C985" t="s">
        <v>15</v>
      </c>
      <c r="D985" t="s">
        <v>41</v>
      </c>
      <c r="E985" t="s">
        <v>17</v>
      </c>
      <c r="F985" t="s">
        <v>18</v>
      </c>
      <c r="G985" t="s">
        <v>56</v>
      </c>
      <c r="H985">
        <v>2</v>
      </c>
      <c r="I985">
        <v>73.319999999999993</v>
      </c>
      <c r="J985" s="13">
        <v>0.03</v>
      </c>
      <c r="K985">
        <v>142.22999999999999</v>
      </c>
      <c r="L985">
        <v>110.3</v>
      </c>
      <c r="M985">
        <v>31.93</v>
      </c>
      <c r="N985" t="s">
        <v>72</v>
      </c>
    </row>
    <row r="986" spans="1:14" x14ac:dyDescent="0.3">
      <c r="A986" t="s">
        <v>1040</v>
      </c>
      <c r="B986" s="1">
        <v>45706</v>
      </c>
      <c r="C986" t="s">
        <v>59</v>
      </c>
      <c r="D986" t="s">
        <v>31</v>
      </c>
      <c r="E986" t="s">
        <v>17</v>
      </c>
      <c r="F986" t="s">
        <v>32</v>
      </c>
      <c r="G986" t="s">
        <v>50</v>
      </c>
      <c r="H986">
        <v>1</v>
      </c>
      <c r="I986">
        <v>30.18</v>
      </c>
      <c r="J986" s="13">
        <v>0.03</v>
      </c>
      <c r="K986">
        <v>29.28</v>
      </c>
      <c r="L986">
        <v>18.14</v>
      </c>
      <c r="M986">
        <v>11.14</v>
      </c>
      <c r="N986" t="s">
        <v>102</v>
      </c>
    </row>
    <row r="987" spans="1:14" x14ac:dyDescent="0.3">
      <c r="A987" t="s">
        <v>1041</v>
      </c>
      <c r="B987" s="1">
        <v>46001</v>
      </c>
      <c r="C987" t="s">
        <v>67</v>
      </c>
      <c r="D987" t="s">
        <v>16</v>
      </c>
      <c r="E987" t="s">
        <v>17</v>
      </c>
      <c r="F987" t="s">
        <v>18</v>
      </c>
      <c r="G987" t="s">
        <v>79</v>
      </c>
      <c r="H987">
        <v>2</v>
      </c>
      <c r="I987">
        <v>191.44</v>
      </c>
      <c r="J987" s="13">
        <v>0</v>
      </c>
      <c r="K987">
        <v>382.88</v>
      </c>
      <c r="L987">
        <v>278.49</v>
      </c>
      <c r="M987">
        <v>104.39</v>
      </c>
      <c r="N987" t="s">
        <v>70</v>
      </c>
    </row>
    <row r="988" spans="1:14" x14ac:dyDescent="0.3">
      <c r="A988" t="s">
        <v>1042</v>
      </c>
      <c r="B988" s="1">
        <v>45939</v>
      </c>
      <c r="C988" t="s">
        <v>36</v>
      </c>
      <c r="D988" t="s">
        <v>16</v>
      </c>
      <c r="E988" t="s">
        <v>44</v>
      </c>
      <c r="F988" t="s">
        <v>32</v>
      </c>
      <c r="G988" t="s">
        <v>50</v>
      </c>
      <c r="H988">
        <v>3</v>
      </c>
      <c r="I988">
        <v>140.59</v>
      </c>
      <c r="J988" s="13">
        <v>0.05</v>
      </c>
      <c r="K988">
        <v>400.67</v>
      </c>
      <c r="L988">
        <v>279.91000000000003</v>
      </c>
      <c r="M988">
        <v>120.76</v>
      </c>
      <c r="N988" t="s">
        <v>51</v>
      </c>
    </row>
    <row r="989" spans="1:14" x14ac:dyDescent="0.3">
      <c r="A989" t="s">
        <v>1043</v>
      </c>
      <c r="B989" s="1">
        <v>45704</v>
      </c>
      <c r="C989" t="s">
        <v>15</v>
      </c>
      <c r="D989" t="s">
        <v>16</v>
      </c>
      <c r="E989" t="s">
        <v>44</v>
      </c>
      <c r="F989" t="s">
        <v>32</v>
      </c>
      <c r="G989" t="s">
        <v>37</v>
      </c>
      <c r="H989">
        <v>1</v>
      </c>
      <c r="I989">
        <v>77.81</v>
      </c>
      <c r="J989" s="13">
        <v>0.05</v>
      </c>
      <c r="K989">
        <v>73.92</v>
      </c>
      <c r="L989">
        <v>58.79</v>
      </c>
      <c r="M989">
        <v>15.13</v>
      </c>
      <c r="N989" t="s">
        <v>102</v>
      </c>
    </row>
    <row r="990" spans="1:14" x14ac:dyDescent="0.3">
      <c r="A990" t="s">
        <v>1044</v>
      </c>
      <c r="B990" s="1">
        <v>45831</v>
      </c>
      <c r="C990" t="s">
        <v>48</v>
      </c>
      <c r="D990" t="s">
        <v>31</v>
      </c>
      <c r="E990" t="s">
        <v>24</v>
      </c>
      <c r="F990" t="s">
        <v>45</v>
      </c>
      <c r="G990" t="s">
        <v>33</v>
      </c>
      <c r="H990">
        <v>8</v>
      </c>
      <c r="I990">
        <v>332.82</v>
      </c>
      <c r="J990" s="13">
        <v>0.1</v>
      </c>
      <c r="K990">
        <v>2396.34</v>
      </c>
      <c r="L990">
        <v>1816.68</v>
      </c>
      <c r="M990">
        <v>579.66</v>
      </c>
      <c r="N990" t="s">
        <v>76</v>
      </c>
    </row>
    <row r="991" spans="1:14" x14ac:dyDescent="0.3">
      <c r="A991" t="s">
        <v>1045</v>
      </c>
      <c r="B991" s="1">
        <v>45973</v>
      </c>
      <c r="C991" t="s">
        <v>104</v>
      </c>
      <c r="D991" t="s">
        <v>41</v>
      </c>
      <c r="E991" t="s">
        <v>24</v>
      </c>
      <c r="F991" t="s">
        <v>45</v>
      </c>
      <c r="G991" t="s">
        <v>46</v>
      </c>
      <c r="H991">
        <v>1</v>
      </c>
      <c r="I991">
        <v>101.62</v>
      </c>
      <c r="J991" s="13">
        <v>0.05</v>
      </c>
      <c r="K991">
        <v>96.54</v>
      </c>
      <c r="L991">
        <v>64.569999999999993</v>
      </c>
      <c r="M991">
        <v>31.97</v>
      </c>
      <c r="N991" t="s">
        <v>60</v>
      </c>
    </row>
    <row r="992" spans="1:14" x14ac:dyDescent="0.3">
      <c r="A992" t="s">
        <v>1046</v>
      </c>
      <c r="B992" s="1">
        <v>45785</v>
      </c>
      <c r="C992" t="s">
        <v>30</v>
      </c>
      <c r="D992" t="s">
        <v>16</v>
      </c>
      <c r="E992" t="s">
        <v>44</v>
      </c>
      <c r="F992" t="s">
        <v>18</v>
      </c>
      <c r="G992" t="s">
        <v>79</v>
      </c>
      <c r="H992">
        <v>3</v>
      </c>
      <c r="I992">
        <v>59.34</v>
      </c>
      <c r="J992" s="13">
        <v>0.15</v>
      </c>
      <c r="K992">
        <v>151.32</v>
      </c>
      <c r="L992">
        <v>132.09</v>
      </c>
      <c r="M992">
        <v>19.23</v>
      </c>
      <c r="N992" t="s">
        <v>72</v>
      </c>
    </row>
    <row r="993" spans="1:14" x14ac:dyDescent="0.3">
      <c r="A993" t="s">
        <v>1047</v>
      </c>
      <c r="B993" s="1">
        <v>45755</v>
      </c>
      <c r="C993" t="s">
        <v>40</v>
      </c>
      <c r="D993" t="s">
        <v>23</v>
      </c>
      <c r="E993" t="s">
        <v>24</v>
      </c>
      <c r="F993" t="s">
        <v>18</v>
      </c>
      <c r="G993" t="s">
        <v>33</v>
      </c>
      <c r="H993">
        <v>2</v>
      </c>
      <c r="I993">
        <v>117.2</v>
      </c>
      <c r="J993" s="13">
        <v>0.03</v>
      </c>
      <c r="K993">
        <v>227.36</v>
      </c>
      <c r="L993">
        <v>148.37</v>
      </c>
      <c r="M993">
        <v>78.989999999999995</v>
      </c>
      <c r="N993" t="s">
        <v>63</v>
      </c>
    </row>
    <row r="994" spans="1:14" x14ac:dyDescent="0.3">
      <c r="A994" t="s">
        <v>1048</v>
      </c>
      <c r="B994" s="1">
        <v>45883</v>
      </c>
      <c r="C994" t="s">
        <v>15</v>
      </c>
      <c r="D994" t="s">
        <v>41</v>
      </c>
      <c r="E994" t="s">
        <v>24</v>
      </c>
      <c r="F994" t="s">
        <v>18</v>
      </c>
      <c r="G994" t="s">
        <v>33</v>
      </c>
      <c r="H994">
        <v>4</v>
      </c>
      <c r="I994">
        <v>77.27</v>
      </c>
      <c r="J994" s="13">
        <v>0.15</v>
      </c>
      <c r="K994">
        <v>262.70999999999998</v>
      </c>
      <c r="L994">
        <v>210.14</v>
      </c>
      <c r="M994">
        <v>52.57</v>
      </c>
      <c r="N994" t="s">
        <v>20</v>
      </c>
    </row>
    <row r="995" spans="1:14" x14ac:dyDescent="0.3">
      <c r="A995" t="s">
        <v>1049</v>
      </c>
      <c r="B995" s="1">
        <v>45844</v>
      </c>
      <c r="C995" t="s">
        <v>30</v>
      </c>
      <c r="D995" t="s">
        <v>31</v>
      </c>
      <c r="E995" t="s">
        <v>17</v>
      </c>
      <c r="F995" t="s">
        <v>45</v>
      </c>
      <c r="G995" t="s">
        <v>37</v>
      </c>
      <c r="H995">
        <v>6</v>
      </c>
      <c r="I995">
        <v>51.21</v>
      </c>
      <c r="J995" s="13">
        <v>0.03</v>
      </c>
      <c r="K995">
        <v>298.06</v>
      </c>
      <c r="L995">
        <v>203.55</v>
      </c>
      <c r="M995">
        <v>94.51</v>
      </c>
      <c r="N995" t="s">
        <v>26</v>
      </c>
    </row>
    <row r="996" spans="1:14" x14ac:dyDescent="0.3">
      <c r="A996" t="s">
        <v>1050</v>
      </c>
      <c r="B996" s="1">
        <v>45683</v>
      </c>
      <c r="C996" t="s">
        <v>28</v>
      </c>
      <c r="D996" t="s">
        <v>41</v>
      </c>
      <c r="E996" t="s">
        <v>17</v>
      </c>
      <c r="F996" t="s">
        <v>18</v>
      </c>
      <c r="G996" t="s">
        <v>79</v>
      </c>
      <c r="H996">
        <v>4</v>
      </c>
      <c r="I996">
        <v>887.62</v>
      </c>
      <c r="J996" s="13">
        <v>0</v>
      </c>
      <c r="K996">
        <v>3550.49</v>
      </c>
      <c r="L996">
        <v>2104.4499999999998</v>
      </c>
      <c r="M996">
        <v>1446.04</v>
      </c>
      <c r="N996" t="s">
        <v>34</v>
      </c>
    </row>
    <row r="997" spans="1:14" x14ac:dyDescent="0.3">
      <c r="A997" t="s">
        <v>1051</v>
      </c>
      <c r="B997" s="1">
        <v>45744</v>
      </c>
      <c r="C997" t="s">
        <v>28</v>
      </c>
      <c r="D997" t="s">
        <v>23</v>
      </c>
      <c r="E997" t="s">
        <v>44</v>
      </c>
      <c r="F997" t="s">
        <v>32</v>
      </c>
      <c r="G997" t="s">
        <v>19</v>
      </c>
      <c r="H997">
        <v>1</v>
      </c>
      <c r="I997">
        <v>916.85</v>
      </c>
      <c r="J997" s="13">
        <v>0.05</v>
      </c>
      <c r="K997">
        <v>871</v>
      </c>
      <c r="L997">
        <v>629.64</v>
      </c>
      <c r="M997">
        <v>241.36</v>
      </c>
      <c r="N997" t="s">
        <v>53</v>
      </c>
    </row>
    <row r="998" spans="1:14" x14ac:dyDescent="0.3">
      <c r="A998" t="s">
        <v>1052</v>
      </c>
      <c r="B998" s="1">
        <v>45758</v>
      </c>
      <c r="C998" t="s">
        <v>40</v>
      </c>
      <c r="D998" t="s">
        <v>16</v>
      </c>
      <c r="E998" t="s">
        <v>24</v>
      </c>
      <c r="F998" t="s">
        <v>18</v>
      </c>
      <c r="G998" t="s">
        <v>19</v>
      </c>
      <c r="H998">
        <v>3</v>
      </c>
      <c r="I998">
        <v>106.41</v>
      </c>
      <c r="J998" s="13">
        <v>0.03</v>
      </c>
      <c r="K998">
        <v>309.66000000000003</v>
      </c>
      <c r="L998">
        <v>190.71</v>
      </c>
      <c r="M998">
        <v>118.95</v>
      </c>
      <c r="N998" t="s">
        <v>63</v>
      </c>
    </row>
    <row r="999" spans="1:14" x14ac:dyDescent="0.3">
      <c r="A999" t="s">
        <v>1053</v>
      </c>
      <c r="B999" s="1">
        <v>45893</v>
      </c>
      <c r="C999" t="s">
        <v>67</v>
      </c>
      <c r="D999" t="s">
        <v>23</v>
      </c>
      <c r="E999" t="s">
        <v>17</v>
      </c>
      <c r="F999" t="s">
        <v>45</v>
      </c>
      <c r="G999" t="s">
        <v>33</v>
      </c>
      <c r="H999">
        <v>2</v>
      </c>
      <c r="I999">
        <v>171.45</v>
      </c>
      <c r="J999" s="13">
        <v>0</v>
      </c>
      <c r="K999">
        <v>342.9</v>
      </c>
      <c r="L999">
        <v>224.68</v>
      </c>
      <c r="M999">
        <v>118.22</v>
      </c>
      <c r="N999" t="s">
        <v>20</v>
      </c>
    </row>
    <row r="1000" spans="1:14" x14ac:dyDescent="0.3">
      <c r="A1000" t="s">
        <v>1054</v>
      </c>
      <c r="B1000" s="1">
        <v>45748</v>
      </c>
      <c r="C1000" t="s">
        <v>59</v>
      </c>
      <c r="D1000" t="s">
        <v>23</v>
      </c>
      <c r="E1000" t="s">
        <v>17</v>
      </c>
      <c r="F1000" t="s">
        <v>18</v>
      </c>
      <c r="G1000" t="s">
        <v>19</v>
      </c>
      <c r="H1000">
        <v>4</v>
      </c>
      <c r="I1000">
        <v>32.82</v>
      </c>
      <c r="J1000" s="13">
        <v>0.05</v>
      </c>
      <c r="K1000">
        <v>124.7</v>
      </c>
      <c r="L1000">
        <v>95.78</v>
      </c>
      <c r="M1000">
        <v>28.92</v>
      </c>
      <c r="N1000" t="s">
        <v>63</v>
      </c>
    </row>
    <row r="1001" spans="1:14" x14ac:dyDescent="0.3">
      <c r="A1001" t="s">
        <v>1055</v>
      </c>
      <c r="B1001" s="1">
        <v>45690</v>
      </c>
      <c r="C1001" t="s">
        <v>40</v>
      </c>
      <c r="D1001" t="s">
        <v>23</v>
      </c>
      <c r="E1001" t="s">
        <v>17</v>
      </c>
      <c r="F1001" t="s">
        <v>32</v>
      </c>
      <c r="G1001" t="s">
        <v>50</v>
      </c>
      <c r="H1001">
        <v>4</v>
      </c>
      <c r="I1001">
        <v>110.13</v>
      </c>
      <c r="J1001" s="13">
        <v>0.1</v>
      </c>
      <c r="K1001">
        <v>396.48</v>
      </c>
      <c r="L1001">
        <v>320.95</v>
      </c>
      <c r="M1001">
        <v>75.53</v>
      </c>
      <c r="N1001" t="s">
        <v>102</v>
      </c>
    </row>
    <row r="1002" spans="1:14" x14ac:dyDescent="0.3">
      <c r="A1002" t="s">
        <v>1056</v>
      </c>
      <c r="B1002" s="1">
        <v>45829</v>
      </c>
      <c r="C1002" t="s">
        <v>67</v>
      </c>
      <c r="D1002" t="s">
        <v>23</v>
      </c>
      <c r="E1002" t="s">
        <v>17</v>
      </c>
      <c r="F1002" t="s">
        <v>45</v>
      </c>
      <c r="G1002" t="s">
        <v>19</v>
      </c>
      <c r="H1002">
        <v>4</v>
      </c>
      <c r="I1002">
        <v>196.94</v>
      </c>
      <c r="J1002" s="13">
        <v>0.05</v>
      </c>
      <c r="K1002">
        <v>748.39</v>
      </c>
      <c r="L1002">
        <v>605.41999999999996</v>
      </c>
      <c r="M1002">
        <v>142.97</v>
      </c>
      <c r="N1002" t="s">
        <v>76</v>
      </c>
    </row>
    <row r="1003" spans="1:14" x14ac:dyDescent="0.3">
      <c r="A1003" t="s">
        <v>1057</v>
      </c>
      <c r="B1003" s="1">
        <v>45933</v>
      </c>
      <c r="C1003" t="s">
        <v>59</v>
      </c>
      <c r="D1003" t="s">
        <v>23</v>
      </c>
      <c r="E1003" t="s">
        <v>24</v>
      </c>
      <c r="F1003" t="s">
        <v>18</v>
      </c>
      <c r="G1003" t="s">
        <v>37</v>
      </c>
      <c r="H1003">
        <v>1</v>
      </c>
      <c r="I1003">
        <v>30.62</v>
      </c>
      <c r="J1003" s="13">
        <v>0.05</v>
      </c>
      <c r="K1003">
        <v>29.09</v>
      </c>
      <c r="L1003">
        <v>19.3</v>
      </c>
      <c r="M1003">
        <v>9.7899999999999991</v>
      </c>
      <c r="N1003" t="s">
        <v>51</v>
      </c>
    </row>
    <row r="1004" spans="1:14" x14ac:dyDescent="0.3">
      <c r="A1004" t="s">
        <v>1058</v>
      </c>
      <c r="B1004" s="1">
        <v>45911</v>
      </c>
      <c r="C1004" t="s">
        <v>28</v>
      </c>
      <c r="D1004" t="s">
        <v>16</v>
      </c>
      <c r="E1004" t="s">
        <v>24</v>
      </c>
      <c r="F1004" t="s">
        <v>18</v>
      </c>
      <c r="G1004" t="s">
        <v>19</v>
      </c>
      <c r="H1004">
        <v>3</v>
      </c>
      <c r="I1004">
        <v>872.07</v>
      </c>
      <c r="J1004" s="13">
        <v>0.05</v>
      </c>
      <c r="K1004">
        <v>2485.39</v>
      </c>
      <c r="L1004">
        <v>1736.51</v>
      </c>
      <c r="M1004">
        <v>748.88</v>
      </c>
      <c r="N1004" t="s">
        <v>38</v>
      </c>
    </row>
    <row r="1005" spans="1:14" x14ac:dyDescent="0.3">
      <c r="A1005" t="s">
        <v>1059</v>
      </c>
      <c r="B1005" s="1">
        <v>45829</v>
      </c>
      <c r="C1005" t="s">
        <v>40</v>
      </c>
      <c r="D1005" t="s">
        <v>31</v>
      </c>
      <c r="E1005" t="s">
        <v>24</v>
      </c>
      <c r="F1005" t="s">
        <v>45</v>
      </c>
      <c r="G1005" t="s">
        <v>33</v>
      </c>
      <c r="H1005">
        <v>3</v>
      </c>
      <c r="I1005">
        <v>115.73</v>
      </c>
      <c r="J1005" s="13">
        <v>0.1</v>
      </c>
      <c r="K1005">
        <v>312.48</v>
      </c>
      <c r="L1005">
        <v>250.53</v>
      </c>
      <c r="M1005">
        <v>61.95</v>
      </c>
      <c r="N1005" t="s">
        <v>76</v>
      </c>
    </row>
    <row r="1006" spans="1:14" x14ac:dyDescent="0.3">
      <c r="A1006" t="s">
        <v>1060</v>
      </c>
      <c r="B1006" s="1">
        <v>45961</v>
      </c>
      <c r="C1006" t="s">
        <v>43</v>
      </c>
      <c r="D1006" t="s">
        <v>16</v>
      </c>
      <c r="E1006" t="s">
        <v>24</v>
      </c>
      <c r="F1006" t="s">
        <v>45</v>
      </c>
      <c r="G1006" t="s">
        <v>33</v>
      </c>
      <c r="H1006">
        <v>1</v>
      </c>
      <c r="I1006">
        <v>663.97</v>
      </c>
      <c r="J1006" s="13">
        <v>0.03</v>
      </c>
      <c r="K1006">
        <v>644.04999999999995</v>
      </c>
      <c r="L1006">
        <v>412.98</v>
      </c>
      <c r="M1006">
        <v>231.07</v>
      </c>
      <c r="N1006" t="s">
        <v>51</v>
      </c>
    </row>
    <row r="1007" spans="1:14" x14ac:dyDescent="0.3">
      <c r="A1007" t="s">
        <v>1061</v>
      </c>
      <c r="B1007" s="1">
        <v>45742</v>
      </c>
      <c r="C1007" t="s">
        <v>30</v>
      </c>
      <c r="D1007" t="s">
        <v>41</v>
      </c>
      <c r="E1007" t="s">
        <v>17</v>
      </c>
      <c r="F1007" t="s">
        <v>32</v>
      </c>
      <c r="G1007" t="s">
        <v>46</v>
      </c>
      <c r="H1007">
        <v>3</v>
      </c>
      <c r="I1007">
        <v>52.24</v>
      </c>
      <c r="J1007" s="13">
        <v>0</v>
      </c>
      <c r="K1007">
        <v>156.71</v>
      </c>
      <c r="L1007">
        <v>91.72</v>
      </c>
      <c r="M1007">
        <v>64.989999999999995</v>
      </c>
      <c r="N1007" t="s">
        <v>53</v>
      </c>
    </row>
    <row r="1008" spans="1:14" x14ac:dyDescent="0.3">
      <c r="A1008" t="s">
        <v>1062</v>
      </c>
      <c r="B1008" s="1">
        <v>46003</v>
      </c>
      <c r="C1008" t="s">
        <v>30</v>
      </c>
      <c r="D1008" t="s">
        <v>31</v>
      </c>
      <c r="E1008" t="s">
        <v>24</v>
      </c>
      <c r="F1008" t="s">
        <v>45</v>
      </c>
      <c r="G1008" t="s">
        <v>33</v>
      </c>
      <c r="H1008">
        <v>2</v>
      </c>
      <c r="I1008">
        <v>55.62</v>
      </c>
      <c r="J1008" s="13">
        <v>0.1</v>
      </c>
      <c r="K1008">
        <v>100.11</v>
      </c>
      <c r="L1008">
        <v>67.33</v>
      </c>
      <c r="M1008">
        <v>32.78</v>
      </c>
      <c r="N1008" t="s">
        <v>70</v>
      </c>
    </row>
    <row r="1009" spans="1:14" x14ac:dyDescent="0.3">
      <c r="A1009" t="s">
        <v>1063</v>
      </c>
      <c r="B1009" s="1">
        <v>45960</v>
      </c>
      <c r="C1009" t="s">
        <v>59</v>
      </c>
      <c r="D1009" t="s">
        <v>23</v>
      </c>
      <c r="E1009" t="s">
        <v>24</v>
      </c>
      <c r="F1009" t="s">
        <v>18</v>
      </c>
      <c r="G1009" t="s">
        <v>46</v>
      </c>
      <c r="H1009">
        <v>2</v>
      </c>
      <c r="I1009">
        <v>34</v>
      </c>
      <c r="J1009" s="13">
        <v>0</v>
      </c>
      <c r="K1009">
        <v>67.989999999999995</v>
      </c>
      <c r="L1009">
        <v>45.36</v>
      </c>
      <c r="M1009">
        <v>22.63</v>
      </c>
      <c r="N1009" t="s">
        <v>51</v>
      </c>
    </row>
    <row r="1010" spans="1:14" x14ac:dyDescent="0.3">
      <c r="A1010" t="s">
        <v>1064</v>
      </c>
      <c r="B1010" s="1">
        <v>45881</v>
      </c>
      <c r="C1010" t="s">
        <v>28</v>
      </c>
      <c r="D1010" t="s">
        <v>23</v>
      </c>
      <c r="E1010" t="s">
        <v>24</v>
      </c>
      <c r="F1010" t="s">
        <v>18</v>
      </c>
      <c r="G1010" t="s">
        <v>37</v>
      </c>
      <c r="H1010">
        <v>6</v>
      </c>
      <c r="I1010">
        <v>981.95</v>
      </c>
      <c r="J1010" s="13">
        <v>0</v>
      </c>
      <c r="K1010">
        <v>5891.73</v>
      </c>
      <c r="L1010">
        <v>3582.94</v>
      </c>
      <c r="M1010">
        <v>2308.79</v>
      </c>
      <c r="N1010" t="s">
        <v>20</v>
      </c>
    </row>
    <row r="1011" spans="1:14" x14ac:dyDescent="0.3">
      <c r="A1011" t="s">
        <v>1065</v>
      </c>
      <c r="B1011" s="1">
        <v>45919</v>
      </c>
      <c r="C1011" t="s">
        <v>104</v>
      </c>
      <c r="D1011" t="s">
        <v>23</v>
      </c>
      <c r="E1011" t="s">
        <v>24</v>
      </c>
      <c r="F1011" t="s">
        <v>45</v>
      </c>
      <c r="G1011" t="s">
        <v>19</v>
      </c>
      <c r="H1011">
        <v>1</v>
      </c>
      <c r="I1011">
        <v>94.69</v>
      </c>
      <c r="J1011" s="13">
        <v>0.1</v>
      </c>
      <c r="K1011">
        <v>85.22</v>
      </c>
      <c r="L1011">
        <v>64.25</v>
      </c>
      <c r="M1011">
        <v>20.97</v>
      </c>
      <c r="N1011" t="s">
        <v>38</v>
      </c>
    </row>
    <row r="1012" spans="1:14" x14ac:dyDescent="0.3">
      <c r="A1012" t="s">
        <v>1066</v>
      </c>
      <c r="B1012" s="1">
        <v>45958</v>
      </c>
      <c r="C1012" t="s">
        <v>48</v>
      </c>
      <c r="D1012" t="s">
        <v>16</v>
      </c>
      <c r="E1012" t="s">
        <v>24</v>
      </c>
      <c r="F1012" t="s">
        <v>45</v>
      </c>
      <c r="G1012" t="s">
        <v>25</v>
      </c>
      <c r="H1012">
        <v>4</v>
      </c>
      <c r="I1012">
        <v>334.21</v>
      </c>
      <c r="J1012" s="13">
        <v>0</v>
      </c>
      <c r="K1012">
        <v>1336.84</v>
      </c>
      <c r="L1012">
        <v>808.23</v>
      </c>
      <c r="M1012">
        <v>528.61</v>
      </c>
      <c r="N1012" t="s">
        <v>51</v>
      </c>
    </row>
    <row r="1013" spans="1:14" x14ac:dyDescent="0.3">
      <c r="A1013" t="s">
        <v>1067</v>
      </c>
      <c r="B1013" s="1">
        <v>45897</v>
      </c>
      <c r="C1013" t="s">
        <v>40</v>
      </c>
      <c r="D1013" t="s">
        <v>16</v>
      </c>
      <c r="E1013" t="s">
        <v>24</v>
      </c>
      <c r="F1013" t="s">
        <v>45</v>
      </c>
      <c r="G1013" t="s">
        <v>25</v>
      </c>
      <c r="H1013">
        <v>1</v>
      </c>
      <c r="I1013">
        <v>105.47</v>
      </c>
      <c r="J1013" s="13">
        <v>0.1</v>
      </c>
      <c r="K1013">
        <v>94.93</v>
      </c>
      <c r="L1013">
        <v>67.8</v>
      </c>
      <c r="M1013">
        <v>27.13</v>
      </c>
      <c r="N1013" t="s">
        <v>20</v>
      </c>
    </row>
    <row r="1014" spans="1:14" x14ac:dyDescent="0.3">
      <c r="A1014" t="s">
        <v>1068</v>
      </c>
      <c r="B1014" s="1">
        <v>45702</v>
      </c>
      <c r="C1014" t="s">
        <v>69</v>
      </c>
      <c r="D1014" t="s">
        <v>31</v>
      </c>
      <c r="E1014" t="s">
        <v>24</v>
      </c>
      <c r="F1014" t="s">
        <v>18</v>
      </c>
      <c r="G1014" t="s">
        <v>19</v>
      </c>
      <c r="H1014">
        <v>5</v>
      </c>
      <c r="I1014">
        <v>256.05</v>
      </c>
      <c r="J1014" s="13">
        <v>0.03</v>
      </c>
      <c r="K1014">
        <v>1241.8499999999999</v>
      </c>
      <c r="L1014">
        <v>909.06</v>
      </c>
      <c r="M1014">
        <v>332.79</v>
      </c>
      <c r="N1014" t="s">
        <v>102</v>
      </c>
    </row>
    <row r="1015" spans="1:14" x14ac:dyDescent="0.3">
      <c r="A1015" t="s">
        <v>1069</v>
      </c>
      <c r="B1015" s="1">
        <v>45990</v>
      </c>
      <c r="C1015" t="s">
        <v>28</v>
      </c>
      <c r="D1015" t="s">
        <v>31</v>
      </c>
      <c r="E1015" t="s">
        <v>17</v>
      </c>
      <c r="F1015" t="s">
        <v>45</v>
      </c>
      <c r="G1015" t="s">
        <v>50</v>
      </c>
      <c r="H1015">
        <v>1</v>
      </c>
      <c r="I1015">
        <v>979.53</v>
      </c>
      <c r="J1015" s="13">
        <v>0.1</v>
      </c>
      <c r="K1015">
        <v>881.58</v>
      </c>
      <c r="L1015">
        <v>698.72</v>
      </c>
      <c r="M1015">
        <v>182.86</v>
      </c>
      <c r="N1015" t="s">
        <v>60</v>
      </c>
    </row>
    <row r="1016" spans="1:14" x14ac:dyDescent="0.3">
      <c r="A1016" t="s">
        <v>1070</v>
      </c>
      <c r="B1016" s="1">
        <v>45662</v>
      </c>
      <c r="C1016" t="s">
        <v>36</v>
      </c>
      <c r="D1016" t="s">
        <v>16</v>
      </c>
      <c r="E1016" t="s">
        <v>17</v>
      </c>
      <c r="F1016" t="s">
        <v>32</v>
      </c>
      <c r="G1016" t="s">
        <v>19</v>
      </c>
      <c r="H1016">
        <v>1</v>
      </c>
      <c r="I1016">
        <v>155.26</v>
      </c>
      <c r="J1016" s="13">
        <v>0.1</v>
      </c>
      <c r="K1016">
        <v>139.72999999999999</v>
      </c>
      <c r="L1016">
        <v>90.64</v>
      </c>
      <c r="M1016">
        <v>49.09</v>
      </c>
      <c r="N1016" t="s">
        <v>34</v>
      </c>
    </row>
    <row r="1017" spans="1:14" x14ac:dyDescent="0.3">
      <c r="A1017" t="s">
        <v>1071</v>
      </c>
      <c r="B1017" s="1">
        <v>45703</v>
      </c>
      <c r="C1017" t="s">
        <v>28</v>
      </c>
      <c r="D1017" t="s">
        <v>23</v>
      </c>
      <c r="E1017" t="s">
        <v>24</v>
      </c>
      <c r="F1017" t="s">
        <v>18</v>
      </c>
      <c r="G1017" t="s">
        <v>33</v>
      </c>
      <c r="H1017">
        <v>3</v>
      </c>
      <c r="I1017">
        <v>1029.82</v>
      </c>
      <c r="J1017" s="13">
        <v>0</v>
      </c>
      <c r="K1017">
        <v>3089.46</v>
      </c>
      <c r="L1017">
        <v>2218.13</v>
      </c>
      <c r="M1017">
        <v>871.33</v>
      </c>
      <c r="N1017" t="s">
        <v>102</v>
      </c>
    </row>
    <row r="1018" spans="1:14" x14ac:dyDescent="0.3">
      <c r="A1018" t="s">
        <v>1072</v>
      </c>
      <c r="B1018" s="1">
        <v>45703</v>
      </c>
      <c r="C1018" t="s">
        <v>69</v>
      </c>
      <c r="D1018" t="s">
        <v>16</v>
      </c>
      <c r="E1018" t="s">
        <v>17</v>
      </c>
      <c r="F1018" t="s">
        <v>18</v>
      </c>
      <c r="G1018" t="s">
        <v>79</v>
      </c>
      <c r="H1018">
        <v>1</v>
      </c>
      <c r="I1018">
        <v>277.44</v>
      </c>
      <c r="J1018" s="13">
        <v>0.1</v>
      </c>
      <c r="K1018">
        <v>249.69</v>
      </c>
      <c r="L1018">
        <v>204.41</v>
      </c>
      <c r="M1018">
        <v>45.28</v>
      </c>
      <c r="N1018" t="s">
        <v>102</v>
      </c>
    </row>
    <row r="1019" spans="1:14" x14ac:dyDescent="0.3">
      <c r="A1019" t="s">
        <v>1073</v>
      </c>
      <c r="B1019" s="1">
        <v>45771</v>
      </c>
      <c r="C1019" t="s">
        <v>104</v>
      </c>
      <c r="D1019" t="s">
        <v>31</v>
      </c>
      <c r="E1019" t="s">
        <v>44</v>
      </c>
      <c r="F1019" t="s">
        <v>45</v>
      </c>
      <c r="G1019" t="s">
        <v>79</v>
      </c>
      <c r="H1019">
        <v>3</v>
      </c>
      <c r="I1019">
        <v>98.65</v>
      </c>
      <c r="J1019" s="13">
        <v>0.05</v>
      </c>
      <c r="K1019">
        <v>281.14</v>
      </c>
      <c r="L1019">
        <v>184.92</v>
      </c>
      <c r="M1019">
        <v>96.22</v>
      </c>
      <c r="N1019" t="s">
        <v>63</v>
      </c>
    </row>
    <row r="1020" spans="1:14" x14ac:dyDescent="0.3">
      <c r="A1020" t="s">
        <v>1074</v>
      </c>
      <c r="B1020" s="1">
        <v>46019</v>
      </c>
      <c r="C1020" t="s">
        <v>28</v>
      </c>
      <c r="D1020" t="s">
        <v>31</v>
      </c>
      <c r="E1020" t="s">
        <v>24</v>
      </c>
      <c r="F1020" t="s">
        <v>18</v>
      </c>
      <c r="G1020" t="s">
        <v>19</v>
      </c>
      <c r="H1020">
        <v>2</v>
      </c>
      <c r="I1020">
        <v>918.27</v>
      </c>
      <c r="J1020" s="13">
        <v>0</v>
      </c>
      <c r="K1020">
        <v>1836.54</v>
      </c>
      <c r="L1020">
        <v>1280.1199999999999</v>
      </c>
      <c r="M1020">
        <v>556.41999999999996</v>
      </c>
      <c r="N1020" t="s">
        <v>70</v>
      </c>
    </row>
    <row r="1021" spans="1:14" x14ac:dyDescent="0.3">
      <c r="A1021" t="s">
        <v>1075</v>
      </c>
      <c r="B1021" s="1">
        <v>45977</v>
      </c>
      <c r="C1021" t="s">
        <v>59</v>
      </c>
      <c r="D1021" t="s">
        <v>23</v>
      </c>
      <c r="E1021" t="s">
        <v>24</v>
      </c>
      <c r="F1021" t="s">
        <v>18</v>
      </c>
      <c r="G1021" t="s">
        <v>19</v>
      </c>
      <c r="H1021">
        <v>1</v>
      </c>
      <c r="I1021">
        <v>28.85</v>
      </c>
      <c r="J1021" s="13">
        <v>0.03</v>
      </c>
      <c r="K1021">
        <v>27.98</v>
      </c>
      <c r="L1021">
        <v>19.03</v>
      </c>
      <c r="M1021">
        <v>8.9499999999999993</v>
      </c>
      <c r="N1021" t="s">
        <v>60</v>
      </c>
    </row>
    <row r="1022" spans="1:14" x14ac:dyDescent="0.3">
      <c r="A1022" t="s">
        <v>1076</v>
      </c>
      <c r="B1022" s="1">
        <v>45744</v>
      </c>
      <c r="C1022" t="s">
        <v>104</v>
      </c>
      <c r="D1022" t="s">
        <v>31</v>
      </c>
      <c r="E1022" t="s">
        <v>44</v>
      </c>
      <c r="F1022" t="s">
        <v>18</v>
      </c>
      <c r="G1022" t="s">
        <v>56</v>
      </c>
      <c r="H1022">
        <v>1</v>
      </c>
      <c r="I1022">
        <v>85.68</v>
      </c>
      <c r="J1022" s="13">
        <v>0.03</v>
      </c>
      <c r="K1022">
        <v>83.11</v>
      </c>
      <c r="L1022">
        <v>59.61</v>
      </c>
      <c r="M1022">
        <v>23.5</v>
      </c>
      <c r="N1022" t="s">
        <v>53</v>
      </c>
    </row>
    <row r="1023" spans="1:14" x14ac:dyDescent="0.3">
      <c r="A1023" t="s">
        <v>1077</v>
      </c>
      <c r="B1023" s="1">
        <v>45942</v>
      </c>
      <c r="C1023" t="s">
        <v>59</v>
      </c>
      <c r="D1023" t="s">
        <v>23</v>
      </c>
      <c r="E1023" t="s">
        <v>24</v>
      </c>
      <c r="F1023" t="s">
        <v>18</v>
      </c>
      <c r="G1023" t="s">
        <v>37</v>
      </c>
      <c r="H1023">
        <v>2</v>
      </c>
      <c r="I1023">
        <v>28.93</v>
      </c>
      <c r="J1023" s="13">
        <v>0.05</v>
      </c>
      <c r="K1023">
        <v>54.97</v>
      </c>
      <c r="L1023">
        <v>43.65</v>
      </c>
      <c r="M1023">
        <v>11.32</v>
      </c>
      <c r="N1023" t="s">
        <v>51</v>
      </c>
    </row>
    <row r="1024" spans="1:14" x14ac:dyDescent="0.3">
      <c r="A1024" t="s">
        <v>1078</v>
      </c>
      <c r="B1024" s="1">
        <v>45752</v>
      </c>
      <c r="C1024" t="s">
        <v>22</v>
      </c>
      <c r="D1024" t="s">
        <v>31</v>
      </c>
      <c r="E1024" t="s">
        <v>17</v>
      </c>
      <c r="F1024" t="s">
        <v>45</v>
      </c>
      <c r="G1024" t="s">
        <v>50</v>
      </c>
      <c r="H1024">
        <v>5</v>
      </c>
      <c r="I1024">
        <v>89.71</v>
      </c>
      <c r="J1024" s="13">
        <v>0</v>
      </c>
      <c r="K1024">
        <v>448.54</v>
      </c>
      <c r="L1024">
        <v>267.67</v>
      </c>
      <c r="M1024">
        <v>180.87</v>
      </c>
      <c r="N1024" t="s">
        <v>63</v>
      </c>
    </row>
    <row r="1025" spans="1:14" x14ac:dyDescent="0.3">
      <c r="A1025" t="s">
        <v>1079</v>
      </c>
      <c r="B1025" s="1">
        <v>45823</v>
      </c>
      <c r="C1025" t="s">
        <v>22</v>
      </c>
      <c r="D1025" t="s">
        <v>16</v>
      </c>
      <c r="E1025" t="s">
        <v>17</v>
      </c>
      <c r="F1025" t="s">
        <v>45</v>
      </c>
      <c r="G1025" t="s">
        <v>25</v>
      </c>
      <c r="H1025">
        <v>5</v>
      </c>
      <c r="I1025">
        <v>78.38</v>
      </c>
      <c r="J1025" s="13">
        <v>0.1</v>
      </c>
      <c r="K1025">
        <v>352.7</v>
      </c>
      <c r="L1025">
        <v>278.48</v>
      </c>
      <c r="M1025">
        <v>74.22</v>
      </c>
      <c r="N1025" t="s">
        <v>76</v>
      </c>
    </row>
    <row r="1026" spans="1:14" x14ac:dyDescent="0.3">
      <c r="A1026" t="s">
        <v>1080</v>
      </c>
      <c r="B1026" s="1">
        <v>45720</v>
      </c>
      <c r="C1026" t="s">
        <v>48</v>
      </c>
      <c r="D1026" t="s">
        <v>41</v>
      </c>
      <c r="E1026" t="s">
        <v>17</v>
      </c>
      <c r="F1026" t="s">
        <v>45</v>
      </c>
      <c r="G1026" t="s">
        <v>19</v>
      </c>
      <c r="H1026">
        <v>1</v>
      </c>
      <c r="I1026">
        <v>330.27</v>
      </c>
      <c r="J1026" s="13">
        <v>0.03</v>
      </c>
      <c r="K1026">
        <v>320.36</v>
      </c>
      <c r="L1026">
        <v>239.58</v>
      </c>
      <c r="M1026">
        <v>80.78</v>
      </c>
      <c r="N1026" t="s">
        <v>53</v>
      </c>
    </row>
    <row r="1027" spans="1:14" x14ac:dyDescent="0.3">
      <c r="A1027" t="s">
        <v>1081</v>
      </c>
      <c r="B1027" s="1">
        <v>45970</v>
      </c>
      <c r="C1027" t="s">
        <v>28</v>
      </c>
      <c r="D1027" t="s">
        <v>16</v>
      </c>
      <c r="E1027" t="s">
        <v>24</v>
      </c>
      <c r="F1027" t="s">
        <v>45</v>
      </c>
      <c r="G1027" t="s">
        <v>56</v>
      </c>
      <c r="H1027">
        <v>2</v>
      </c>
      <c r="I1027">
        <v>985.45</v>
      </c>
      <c r="J1027" s="13">
        <v>0.1</v>
      </c>
      <c r="K1027">
        <v>1773.81</v>
      </c>
      <c r="L1027">
        <v>1523.26</v>
      </c>
      <c r="M1027">
        <v>250.55</v>
      </c>
      <c r="N1027" t="s">
        <v>60</v>
      </c>
    </row>
    <row r="1028" spans="1:14" x14ac:dyDescent="0.3">
      <c r="A1028" t="s">
        <v>1082</v>
      </c>
      <c r="B1028" s="1">
        <v>45975</v>
      </c>
      <c r="C1028" t="s">
        <v>48</v>
      </c>
      <c r="D1028" t="s">
        <v>31</v>
      </c>
      <c r="E1028" t="s">
        <v>24</v>
      </c>
      <c r="F1028" t="s">
        <v>45</v>
      </c>
      <c r="G1028" t="s">
        <v>25</v>
      </c>
      <c r="H1028">
        <v>6</v>
      </c>
      <c r="I1028">
        <v>359.14</v>
      </c>
      <c r="J1028" s="13">
        <v>0</v>
      </c>
      <c r="K1028">
        <v>2154.86</v>
      </c>
      <c r="L1028">
        <v>1498.47</v>
      </c>
      <c r="M1028">
        <v>656.39</v>
      </c>
      <c r="N1028" t="s">
        <v>60</v>
      </c>
    </row>
    <row r="1029" spans="1:14" x14ac:dyDescent="0.3">
      <c r="A1029" t="s">
        <v>1083</v>
      </c>
      <c r="B1029" s="1">
        <v>46000</v>
      </c>
      <c r="C1029" t="s">
        <v>59</v>
      </c>
      <c r="D1029" t="s">
        <v>41</v>
      </c>
      <c r="E1029" t="s">
        <v>24</v>
      </c>
      <c r="F1029" t="s">
        <v>18</v>
      </c>
      <c r="G1029" t="s">
        <v>50</v>
      </c>
      <c r="H1029">
        <v>3</v>
      </c>
      <c r="I1029">
        <v>30.87</v>
      </c>
      <c r="J1029" s="13">
        <v>0.1</v>
      </c>
      <c r="K1029">
        <v>83.34</v>
      </c>
      <c r="L1029">
        <v>64.989999999999995</v>
      </c>
      <c r="M1029">
        <v>18.350000000000001</v>
      </c>
      <c r="N1029" t="s">
        <v>70</v>
      </c>
    </row>
    <row r="1030" spans="1:14" x14ac:dyDescent="0.3">
      <c r="A1030" t="s">
        <v>1084</v>
      </c>
      <c r="B1030" s="1">
        <v>45823</v>
      </c>
      <c r="C1030" t="s">
        <v>40</v>
      </c>
      <c r="D1030" t="s">
        <v>41</v>
      </c>
      <c r="E1030" t="s">
        <v>24</v>
      </c>
      <c r="F1030" t="s">
        <v>18</v>
      </c>
      <c r="G1030" t="s">
        <v>56</v>
      </c>
      <c r="H1030">
        <v>4</v>
      </c>
      <c r="I1030">
        <v>119.99</v>
      </c>
      <c r="J1030" s="13">
        <v>0.1</v>
      </c>
      <c r="K1030">
        <v>431.96</v>
      </c>
      <c r="L1030">
        <v>329.41</v>
      </c>
      <c r="M1030">
        <v>102.55</v>
      </c>
      <c r="N1030" t="s">
        <v>76</v>
      </c>
    </row>
    <row r="1031" spans="1:14" x14ac:dyDescent="0.3">
      <c r="A1031" t="s">
        <v>1085</v>
      </c>
      <c r="B1031" s="1">
        <v>45909</v>
      </c>
      <c r="C1031" t="s">
        <v>40</v>
      </c>
      <c r="D1031" t="s">
        <v>41</v>
      </c>
      <c r="E1031" t="s">
        <v>17</v>
      </c>
      <c r="F1031" t="s">
        <v>18</v>
      </c>
      <c r="G1031" t="s">
        <v>56</v>
      </c>
      <c r="H1031">
        <v>2</v>
      </c>
      <c r="I1031">
        <v>107.67</v>
      </c>
      <c r="J1031" s="13">
        <v>0</v>
      </c>
      <c r="K1031">
        <v>215.34</v>
      </c>
      <c r="L1031">
        <v>154.78</v>
      </c>
      <c r="M1031">
        <v>60.56</v>
      </c>
      <c r="N1031" t="s">
        <v>38</v>
      </c>
    </row>
    <row r="1032" spans="1:14" x14ac:dyDescent="0.3">
      <c r="A1032" t="s">
        <v>1086</v>
      </c>
      <c r="B1032" s="1">
        <v>45735</v>
      </c>
      <c r="C1032" t="s">
        <v>22</v>
      </c>
      <c r="D1032" t="s">
        <v>16</v>
      </c>
      <c r="E1032" t="s">
        <v>44</v>
      </c>
      <c r="F1032" t="s">
        <v>45</v>
      </c>
      <c r="G1032" t="s">
        <v>50</v>
      </c>
      <c r="H1032">
        <v>3</v>
      </c>
      <c r="I1032">
        <v>87.53</v>
      </c>
      <c r="J1032" s="13">
        <v>0.05</v>
      </c>
      <c r="K1032">
        <v>249.45</v>
      </c>
      <c r="L1032">
        <v>152.9</v>
      </c>
      <c r="M1032">
        <v>96.55</v>
      </c>
      <c r="N1032" t="s">
        <v>53</v>
      </c>
    </row>
    <row r="1033" spans="1:14" x14ac:dyDescent="0.3">
      <c r="A1033" t="s">
        <v>1087</v>
      </c>
      <c r="B1033" s="1">
        <v>45976</v>
      </c>
      <c r="C1033" t="s">
        <v>104</v>
      </c>
      <c r="D1033" t="s">
        <v>23</v>
      </c>
      <c r="E1033" t="s">
        <v>44</v>
      </c>
      <c r="F1033" t="s">
        <v>45</v>
      </c>
      <c r="G1033" t="s">
        <v>19</v>
      </c>
      <c r="H1033">
        <v>4</v>
      </c>
      <c r="I1033">
        <v>97.7</v>
      </c>
      <c r="J1033" s="13">
        <v>0.05</v>
      </c>
      <c r="K1033">
        <v>371.28</v>
      </c>
      <c r="L1033">
        <v>275.52</v>
      </c>
      <c r="M1033">
        <v>95.76</v>
      </c>
      <c r="N1033" t="s">
        <v>60</v>
      </c>
    </row>
    <row r="1034" spans="1:14" x14ac:dyDescent="0.3">
      <c r="A1034" t="s">
        <v>1088</v>
      </c>
      <c r="B1034" s="1">
        <v>45778</v>
      </c>
      <c r="C1034" t="s">
        <v>69</v>
      </c>
      <c r="D1034" t="s">
        <v>16</v>
      </c>
      <c r="E1034" t="s">
        <v>17</v>
      </c>
      <c r="F1034" t="s">
        <v>18</v>
      </c>
      <c r="G1034" t="s">
        <v>50</v>
      </c>
      <c r="H1034">
        <v>6</v>
      </c>
      <c r="I1034">
        <v>304.19</v>
      </c>
      <c r="J1034" s="13">
        <v>0.05</v>
      </c>
      <c r="K1034">
        <v>1733.88</v>
      </c>
      <c r="L1034">
        <v>1323.19</v>
      </c>
      <c r="M1034">
        <v>410.69</v>
      </c>
      <c r="N1034" t="s">
        <v>72</v>
      </c>
    </row>
    <row r="1035" spans="1:14" x14ac:dyDescent="0.3">
      <c r="A1035" t="s">
        <v>1089</v>
      </c>
      <c r="B1035" s="1">
        <v>45802</v>
      </c>
      <c r="C1035" t="s">
        <v>15</v>
      </c>
      <c r="D1035" t="s">
        <v>31</v>
      </c>
      <c r="E1035" t="s">
        <v>17</v>
      </c>
      <c r="F1035" t="s">
        <v>32</v>
      </c>
      <c r="G1035" t="s">
        <v>25</v>
      </c>
      <c r="H1035">
        <v>1</v>
      </c>
      <c r="I1035">
        <v>69.92</v>
      </c>
      <c r="J1035" s="13">
        <v>0.1</v>
      </c>
      <c r="K1035">
        <v>62.93</v>
      </c>
      <c r="L1035">
        <v>53.53</v>
      </c>
      <c r="M1035">
        <v>9.4</v>
      </c>
      <c r="N1035" t="s">
        <v>72</v>
      </c>
    </row>
    <row r="1036" spans="1:14" x14ac:dyDescent="0.3">
      <c r="A1036" t="s">
        <v>1090</v>
      </c>
      <c r="B1036" s="1">
        <v>45708</v>
      </c>
      <c r="C1036" t="s">
        <v>28</v>
      </c>
      <c r="D1036" t="s">
        <v>16</v>
      </c>
      <c r="E1036" t="s">
        <v>44</v>
      </c>
      <c r="F1036" t="s">
        <v>18</v>
      </c>
      <c r="G1036" t="s">
        <v>33</v>
      </c>
      <c r="H1036">
        <v>5</v>
      </c>
      <c r="I1036">
        <v>874.72</v>
      </c>
      <c r="J1036" s="13">
        <v>0</v>
      </c>
      <c r="K1036">
        <v>4373.59</v>
      </c>
      <c r="L1036">
        <v>3113.07</v>
      </c>
      <c r="M1036">
        <v>1260.52</v>
      </c>
      <c r="N1036" t="s">
        <v>102</v>
      </c>
    </row>
    <row r="1037" spans="1:14" x14ac:dyDescent="0.3">
      <c r="A1037" t="s">
        <v>1091</v>
      </c>
      <c r="B1037" s="1">
        <v>45769</v>
      </c>
      <c r="C1037" t="s">
        <v>28</v>
      </c>
      <c r="D1037" t="s">
        <v>31</v>
      </c>
      <c r="E1037" t="s">
        <v>24</v>
      </c>
      <c r="F1037" t="s">
        <v>18</v>
      </c>
      <c r="G1037" t="s">
        <v>37</v>
      </c>
      <c r="H1037">
        <v>3</v>
      </c>
      <c r="I1037">
        <v>1020.79</v>
      </c>
      <c r="J1037" s="13">
        <v>0.1</v>
      </c>
      <c r="K1037">
        <v>2756.13</v>
      </c>
      <c r="L1037">
        <v>2001.62</v>
      </c>
      <c r="M1037">
        <v>754.51</v>
      </c>
      <c r="N1037" t="s">
        <v>63</v>
      </c>
    </row>
    <row r="1038" spans="1:14" x14ac:dyDescent="0.3">
      <c r="A1038" t="s">
        <v>1092</v>
      </c>
      <c r="B1038" s="1">
        <v>45738</v>
      </c>
      <c r="C1038" t="s">
        <v>59</v>
      </c>
      <c r="D1038" t="s">
        <v>41</v>
      </c>
      <c r="E1038" t="s">
        <v>17</v>
      </c>
      <c r="F1038" t="s">
        <v>18</v>
      </c>
      <c r="G1038" t="s">
        <v>19</v>
      </c>
      <c r="H1038">
        <v>2</v>
      </c>
      <c r="I1038">
        <v>34.130000000000003</v>
      </c>
      <c r="J1038" s="13">
        <v>0.05</v>
      </c>
      <c r="K1038">
        <v>64.849999999999994</v>
      </c>
      <c r="L1038">
        <v>41.06</v>
      </c>
      <c r="M1038">
        <v>23.79</v>
      </c>
      <c r="N1038" t="s">
        <v>53</v>
      </c>
    </row>
    <row r="1039" spans="1:14" x14ac:dyDescent="0.3">
      <c r="A1039" t="s">
        <v>1093</v>
      </c>
      <c r="B1039" s="1">
        <v>45967</v>
      </c>
      <c r="C1039" t="s">
        <v>69</v>
      </c>
      <c r="D1039" t="s">
        <v>41</v>
      </c>
      <c r="E1039" t="s">
        <v>17</v>
      </c>
      <c r="F1039" t="s">
        <v>18</v>
      </c>
      <c r="G1039" t="s">
        <v>37</v>
      </c>
      <c r="H1039">
        <v>2</v>
      </c>
      <c r="I1039">
        <v>276.07</v>
      </c>
      <c r="J1039" s="13">
        <v>0.03</v>
      </c>
      <c r="K1039">
        <v>535.57000000000005</v>
      </c>
      <c r="L1039">
        <v>393.54</v>
      </c>
      <c r="M1039">
        <v>142.03</v>
      </c>
      <c r="N1039" t="s">
        <v>60</v>
      </c>
    </row>
    <row r="1040" spans="1:14" x14ac:dyDescent="0.3">
      <c r="A1040" t="s">
        <v>1094</v>
      </c>
      <c r="B1040" s="1">
        <v>45776</v>
      </c>
      <c r="C1040" t="s">
        <v>104</v>
      </c>
      <c r="D1040" t="s">
        <v>16</v>
      </c>
      <c r="E1040" t="s">
        <v>44</v>
      </c>
      <c r="F1040" t="s">
        <v>32</v>
      </c>
      <c r="G1040" t="s">
        <v>25</v>
      </c>
      <c r="H1040">
        <v>3</v>
      </c>
      <c r="I1040">
        <v>101.06</v>
      </c>
      <c r="J1040" s="13">
        <v>0</v>
      </c>
      <c r="K1040">
        <v>303.19</v>
      </c>
      <c r="L1040">
        <v>194.95</v>
      </c>
      <c r="M1040">
        <v>108.24</v>
      </c>
      <c r="N1040" t="s">
        <v>63</v>
      </c>
    </row>
    <row r="1041" spans="1:14" x14ac:dyDescent="0.3">
      <c r="A1041" t="s">
        <v>1095</v>
      </c>
      <c r="B1041" s="1">
        <v>45737</v>
      </c>
      <c r="C1041" t="s">
        <v>22</v>
      </c>
      <c r="D1041" t="s">
        <v>23</v>
      </c>
      <c r="E1041" t="s">
        <v>24</v>
      </c>
      <c r="F1041" t="s">
        <v>45</v>
      </c>
      <c r="G1041" t="s">
        <v>25</v>
      </c>
      <c r="H1041">
        <v>3</v>
      </c>
      <c r="I1041">
        <v>81.53</v>
      </c>
      <c r="J1041" s="13">
        <v>0.1</v>
      </c>
      <c r="K1041">
        <v>220.12</v>
      </c>
      <c r="L1041">
        <v>181.57</v>
      </c>
      <c r="M1041">
        <v>38.549999999999997</v>
      </c>
      <c r="N1041" t="s">
        <v>53</v>
      </c>
    </row>
    <row r="1042" spans="1:14" x14ac:dyDescent="0.3">
      <c r="A1042" t="s">
        <v>1096</v>
      </c>
      <c r="B1042" s="1">
        <v>45822</v>
      </c>
      <c r="C1042" t="s">
        <v>104</v>
      </c>
      <c r="D1042" t="s">
        <v>16</v>
      </c>
      <c r="E1042" t="s">
        <v>17</v>
      </c>
      <c r="F1042" t="s">
        <v>18</v>
      </c>
      <c r="G1042" t="s">
        <v>46</v>
      </c>
      <c r="H1042">
        <v>1</v>
      </c>
      <c r="I1042">
        <v>86.08</v>
      </c>
      <c r="J1042" s="13">
        <v>0.1</v>
      </c>
      <c r="K1042">
        <v>77.47</v>
      </c>
      <c r="L1042">
        <v>62.87</v>
      </c>
      <c r="M1042">
        <v>14.6</v>
      </c>
      <c r="N1042" t="s">
        <v>76</v>
      </c>
    </row>
    <row r="1043" spans="1:14" x14ac:dyDescent="0.3">
      <c r="A1043" t="s">
        <v>1097</v>
      </c>
      <c r="B1043" s="1">
        <v>46015</v>
      </c>
      <c r="C1043" t="s">
        <v>22</v>
      </c>
      <c r="D1043" t="s">
        <v>23</v>
      </c>
      <c r="E1043" t="s">
        <v>17</v>
      </c>
      <c r="F1043" t="s">
        <v>45</v>
      </c>
      <c r="G1043" t="s">
        <v>46</v>
      </c>
      <c r="H1043">
        <v>1</v>
      </c>
      <c r="I1043">
        <v>85.4</v>
      </c>
      <c r="J1043" s="13">
        <v>0.1</v>
      </c>
      <c r="K1043">
        <v>76.86</v>
      </c>
      <c r="L1043">
        <v>61.58</v>
      </c>
      <c r="M1043">
        <v>15.28</v>
      </c>
      <c r="N1043" t="s">
        <v>70</v>
      </c>
    </row>
    <row r="1044" spans="1:14" x14ac:dyDescent="0.3">
      <c r="A1044" t="s">
        <v>1098</v>
      </c>
      <c r="B1044" s="1">
        <v>45678</v>
      </c>
      <c r="C1044" t="s">
        <v>59</v>
      </c>
      <c r="D1044" t="s">
        <v>23</v>
      </c>
      <c r="E1044" t="s">
        <v>24</v>
      </c>
      <c r="F1044" t="s">
        <v>18</v>
      </c>
      <c r="G1044" t="s">
        <v>25</v>
      </c>
      <c r="H1044">
        <v>2</v>
      </c>
      <c r="I1044">
        <v>29.68</v>
      </c>
      <c r="J1044" s="13">
        <v>0.15</v>
      </c>
      <c r="K1044">
        <v>50.46</v>
      </c>
      <c r="L1044">
        <v>37.119999999999997</v>
      </c>
      <c r="M1044">
        <v>13.34</v>
      </c>
      <c r="N1044" t="s">
        <v>34</v>
      </c>
    </row>
    <row r="1045" spans="1:14" x14ac:dyDescent="0.3">
      <c r="A1045" t="s">
        <v>1099</v>
      </c>
      <c r="B1045" s="1">
        <v>45807</v>
      </c>
      <c r="C1045" t="s">
        <v>40</v>
      </c>
      <c r="D1045" t="s">
        <v>23</v>
      </c>
      <c r="E1045" t="s">
        <v>17</v>
      </c>
      <c r="F1045" t="s">
        <v>18</v>
      </c>
      <c r="G1045" t="s">
        <v>46</v>
      </c>
      <c r="H1045">
        <v>1</v>
      </c>
      <c r="I1045">
        <v>118.22</v>
      </c>
      <c r="J1045" s="13">
        <v>0.05</v>
      </c>
      <c r="K1045">
        <v>112.31</v>
      </c>
      <c r="L1045">
        <v>90.11</v>
      </c>
      <c r="M1045">
        <v>22.2</v>
      </c>
      <c r="N1045" t="s">
        <v>72</v>
      </c>
    </row>
    <row r="1046" spans="1:14" x14ac:dyDescent="0.3">
      <c r="A1046" t="s">
        <v>1100</v>
      </c>
      <c r="B1046" s="1">
        <v>45722</v>
      </c>
      <c r="C1046" t="s">
        <v>59</v>
      </c>
      <c r="D1046" t="s">
        <v>41</v>
      </c>
      <c r="E1046" t="s">
        <v>24</v>
      </c>
      <c r="F1046" t="s">
        <v>45</v>
      </c>
      <c r="G1046" t="s">
        <v>46</v>
      </c>
      <c r="H1046">
        <v>1</v>
      </c>
      <c r="I1046">
        <v>33.380000000000003</v>
      </c>
      <c r="J1046" s="13">
        <v>0.03</v>
      </c>
      <c r="K1046">
        <v>32.380000000000003</v>
      </c>
      <c r="L1046">
        <v>20.329999999999998</v>
      </c>
      <c r="M1046">
        <v>12.05</v>
      </c>
      <c r="N1046" t="s">
        <v>53</v>
      </c>
    </row>
    <row r="1047" spans="1:14" x14ac:dyDescent="0.3">
      <c r="A1047" t="s">
        <v>1101</v>
      </c>
      <c r="B1047" s="1">
        <v>46001</v>
      </c>
      <c r="C1047" t="s">
        <v>22</v>
      </c>
      <c r="D1047" t="s">
        <v>41</v>
      </c>
      <c r="E1047" t="s">
        <v>24</v>
      </c>
      <c r="F1047" t="s">
        <v>45</v>
      </c>
      <c r="G1047" t="s">
        <v>46</v>
      </c>
      <c r="H1047">
        <v>1</v>
      </c>
      <c r="I1047">
        <v>90.15</v>
      </c>
      <c r="J1047" s="13">
        <v>0</v>
      </c>
      <c r="K1047">
        <v>90.15</v>
      </c>
      <c r="L1047">
        <v>63.53</v>
      </c>
      <c r="M1047">
        <v>26.62</v>
      </c>
      <c r="N1047" t="s">
        <v>70</v>
      </c>
    </row>
    <row r="1048" spans="1:14" x14ac:dyDescent="0.3">
      <c r="A1048" t="s">
        <v>1102</v>
      </c>
      <c r="B1048" s="1">
        <v>45823</v>
      </c>
      <c r="C1048" t="s">
        <v>48</v>
      </c>
      <c r="D1048" t="s">
        <v>31</v>
      </c>
      <c r="E1048" t="s">
        <v>17</v>
      </c>
      <c r="F1048" t="s">
        <v>45</v>
      </c>
      <c r="G1048" t="s">
        <v>37</v>
      </c>
      <c r="H1048">
        <v>2</v>
      </c>
      <c r="I1048">
        <v>366.46</v>
      </c>
      <c r="J1048" s="13">
        <v>0.05</v>
      </c>
      <c r="K1048">
        <v>696.28</v>
      </c>
      <c r="L1048">
        <v>556.29999999999995</v>
      </c>
      <c r="M1048">
        <v>139.97999999999999</v>
      </c>
      <c r="N1048" t="s">
        <v>76</v>
      </c>
    </row>
    <row r="1049" spans="1:14" x14ac:dyDescent="0.3">
      <c r="A1049" t="s">
        <v>1103</v>
      </c>
      <c r="B1049" s="1">
        <v>45965</v>
      </c>
      <c r="C1049" t="s">
        <v>22</v>
      </c>
      <c r="D1049" t="s">
        <v>41</v>
      </c>
      <c r="E1049" t="s">
        <v>17</v>
      </c>
      <c r="F1049" t="s">
        <v>45</v>
      </c>
      <c r="G1049" t="s">
        <v>37</v>
      </c>
      <c r="H1049">
        <v>1</v>
      </c>
      <c r="I1049">
        <v>92.66</v>
      </c>
      <c r="J1049" s="13">
        <v>0.05</v>
      </c>
      <c r="K1049">
        <v>88.03</v>
      </c>
      <c r="L1049">
        <v>63.39</v>
      </c>
      <c r="M1049">
        <v>24.64</v>
      </c>
      <c r="N1049" t="s">
        <v>60</v>
      </c>
    </row>
    <row r="1050" spans="1:14" x14ac:dyDescent="0.3">
      <c r="A1050" t="s">
        <v>1104</v>
      </c>
      <c r="B1050" s="1">
        <v>46019</v>
      </c>
      <c r="C1050" t="s">
        <v>104</v>
      </c>
      <c r="D1050" t="s">
        <v>31</v>
      </c>
      <c r="E1050" t="s">
        <v>24</v>
      </c>
      <c r="F1050" t="s">
        <v>18</v>
      </c>
      <c r="G1050" t="s">
        <v>25</v>
      </c>
      <c r="H1050">
        <v>2</v>
      </c>
      <c r="I1050">
        <v>100.57</v>
      </c>
      <c r="J1050" s="13">
        <v>0.1</v>
      </c>
      <c r="K1050">
        <v>181.03</v>
      </c>
      <c r="L1050">
        <v>138.13999999999999</v>
      </c>
      <c r="M1050">
        <v>42.89</v>
      </c>
      <c r="N1050" t="s">
        <v>70</v>
      </c>
    </row>
    <row r="1051" spans="1:14" x14ac:dyDescent="0.3">
      <c r="A1051" t="s">
        <v>1105</v>
      </c>
      <c r="B1051" s="1">
        <v>45893</v>
      </c>
      <c r="C1051" t="s">
        <v>15</v>
      </c>
      <c r="D1051" t="s">
        <v>41</v>
      </c>
      <c r="E1051" t="s">
        <v>24</v>
      </c>
      <c r="F1051" t="s">
        <v>18</v>
      </c>
      <c r="G1051" t="s">
        <v>56</v>
      </c>
      <c r="H1051">
        <v>2</v>
      </c>
      <c r="I1051">
        <v>72.83</v>
      </c>
      <c r="J1051" s="13">
        <v>0.03</v>
      </c>
      <c r="K1051">
        <v>141.28</v>
      </c>
      <c r="L1051">
        <v>100.33</v>
      </c>
      <c r="M1051">
        <v>40.950000000000003</v>
      </c>
      <c r="N1051" t="s">
        <v>20</v>
      </c>
    </row>
    <row r="1052" spans="1:14" x14ac:dyDescent="0.3">
      <c r="A1052" t="s">
        <v>1106</v>
      </c>
      <c r="B1052" s="1">
        <v>45819</v>
      </c>
      <c r="C1052" t="s">
        <v>59</v>
      </c>
      <c r="D1052" t="s">
        <v>31</v>
      </c>
      <c r="E1052" t="s">
        <v>24</v>
      </c>
      <c r="F1052" t="s">
        <v>32</v>
      </c>
      <c r="G1052" t="s">
        <v>25</v>
      </c>
      <c r="H1052">
        <v>1</v>
      </c>
      <c r="I1052">
        <v>33</v>
      </c>
      <c r="J1052" s="13">
        <v>0.03</v>
      </c>
      <c r="K1052">
        <v>32.01</v>
      </c>
      <c r="L1052">
        <v>20.72</v>
      </c>
      <c r="M1052">
        <v>11.29</v>
      </c>
      <c r="N1052" t="s">
        <v>76</v>
      </c>
    </row>
    <row r="1053" spans="1:14" x14ac:dyDescent="0.3">
      <c r="A1053" t="s">
        <v>1107</v>
      </c>
      <c r="B1053" s="1">
        <v>45722</v>
      </c>
      <c r="C1053" t="s">
        <v>15</v>
      </c>
      <c r="D1053" t="s">
        <v>31</v>
      </c>
      <c r="E1053" t="s">
        <v>24</v>
      </c>
      <c r="F1053" t="s">
        <v>18</v>
      </c>
      <c r="G1053" t="s">
        <v>56</v>
      </c>
      <c r="H1053">
        <v>5</v>
      </c>
      <c r="I1053">
        <v>81.900000000000006</v>
      </c>
      <c r="J1053" s="13">
        <v>0.1</v>
      </c>
      <c r="K1053">
        <v>368.55</v>
      </c>
      <c r="L1053">
        <v>251.61</v>
      </c>
      <c r="M1053">
        <v>116.94</v>
      </c>
      <c r="N1053" t="s">
        <v>53</v>
      </c>
    </row>
    <row r="1054" spans="1:14" x14ac:dyDescent="0.3">
      <c r="A1054" t="s">
        <v>1108</v>
      </c>
      <c r="B1054" s="1">
        <v>45964</v>
      </c>
      <c r="C1054" t="s">
        <v>28</v>
      </c>
      <c r="D1054" t="s">
        <v>23</v>
      </c>
      <c r="E1054" t="s">
        <v>17</v>
      </c>
      <c r="F1054" t="s">
        <v>18</v>
      </c>
      <c r="G1054" t="s">
        <v>50</v>
      </c>
      <c r="H1054">
        <v>3</v>
      </c>
      <c r="I1054">
        <v>1001.42</v>
      </c>
      <c r="J1054" s="13">
        <v>0.05</v>
      </c>
      <c r="K1054">
        <v>2854.05</v>
      </c>
      <c r="L1054">
        <v>2070.5700000000002</v>
      </c>
      <c r="M1054">
        <v>783.48</v>
      </c>
      <c r="N1054" t="s">
        <v>60</v>
      </c>
    </row>
    <row r="1055" spans="1:14" x14ac:dyDescent="0.3">
      <c r="A1055" t="s">
        <v>1109</v>
      </c>
      <c r="B1055" s="1">
        <v>45777</v>
      </c>
      <c r="C1055" t="s">
        <v>30</v>
      </c>
      <c r="D1055" t="s">
        <v>16</v>
      </c>
      <c r="E1055" t="s">
        <v>24</v>
      </c>
      <c r="F1055" t="s">
        <v>18</v>
      </c>
      <c r="G1055" t="s">
        <v>50</v>
      </c>
      <c r="H1055">
        <v>1</v>
      </c>
      <c r="I1055">
        <v>51.34</v>
      </c>
      <c r="J1055" s="13">
        <v>0.05</v>
      </c>
      <c r="K1055">
        <v>48.77</v>
      </c>
      <c r="L1055">
        <v>34.5</v>
      </c>
      <c r="M1055">
        <v>14.27</v>
      </c>
      <c r="N1055" t="s">
        <v>63</v>
      </c>
    </row>
    <row r="1056" spans="1:14" x14ac:dyDescent="0.3">
      <c r="A1056" t="s">
        <v>1110</v>
      </c>
      <c r="B1056" s="1">
        <v>45783</v>
      </c>
      <c r="C1056" t="s">
        <v>67</v>
      </c>
      <c r="D1056" t="s">
        <v>41</v>
      </c>
      <c r="E1056" t="s">
        <v>24</v>
      </c>
      <c r="F1056" t="s">
        <v>45</v>
      </c>
      <c r="G1056" t="s">
        <v>33</v>
      </c>
      <c r="H1056">
        <v>1</v>
      </c>
      <c r="I1056">
        <v>205.35</v>
      </c>
      <c r="J1056" s="13">
        <v>0.1</v>
      </c>
      <c r="K1056">
        <v>184.82</v>
      </c>
      <c r="L1056">
        <v>152.36000000000001</v>
      </c>
      <c r="M1056">
        <v>32.46</v>
      </c>
      <c r="N1056" t="s">
        <v>72</v>
      </c>
    </row>
    <row r="1057" spans="1:14" x14ac:dyDescent="0.3">
      <c r="A1057" t="s">
        <v>1111</v>
      </c>
      <c r="B1057" s="1">
        <v>45769</v>
      </c>
      <c r="C1057" t="s">
        <v>69</v>
      </c>
      <c r="D1057" t="s">
        <v>41</v>
      </c>
      <c r="E1057" t="s">
        <v>44</v>
      </c>
      <c r="F1057" t="s">
        <v>18</v>
      </c>
      <c r="G1057" t="s">
        <v>37</v>
      </c>
      <c r="H1057">
        <v>2</v>
      </c>
      <c r="I1057">
        <v>280.31</v>
      </c>
      <c r="J1057" s="13">
        <v>0.1</v>
      </c>
      <c r="K1057">
        <v>504.56</v>
      </c>
      <c r="L1057">
        <v>339.3</v>
      </c>
      <c r="M1057">
        <v>165.26</v>
      </c>
      <c r="N1057" t="s">
        <v>63</v>
      </c>
    </row>
    <row r="1058" spans="1:14" x14ac:dyDescent="0.3">
      <c r="A1058" t="s">
        <v>1112</v>
      </c>
      <c r="B1058" s="1">
        <v>46012</v>
      </c>
      <c r="C1058" t="s">
        <v>22</v>
      </c>
      <c r="D1058" t="s">
        <v>16</v>
      </c>
      <c r="E1058" t="s">
        <v>24</v>
      </c>
      <c r="F1058" t="s">
        <v>18</v>
      </c>
      <c r="G1058" t="s">
        <v>19</v>
      </c>
      <c r="H1058">
        <v>2</v>
      </c>
      <c r="I1058">
        <v>92.26</v>
      </c>
      <c r="J1058" s="13">
        <v>0</v>
      </c>
      <c r="K1058">
        <v>184.51</v>
      </c>
      <c r="L1058">
        <v>127.49</v>
      </c>
      <c r="M1058">
        <v>57.02</v>
      </c>
      <c r="N1058" t="s">
        <v>70</v>
      </c>
    </row>
    <row r="1059" spans="1:14" x14ac:dyDescent="0.3">
      <c r="A1059" t="s">
        <v>1113</v>
      </c>
      <c r="B1059" s="1">
        <v>45853</v>
      </c>
      <c r="C1059" t="s">
        <v>104</v>
      </c>
      <c r="D1059" t="s">
        <v>31</v>
      </c>
      <c r="E1059" t="s">
        <v>24</v>
      </c>
      <c r="F1059" t="s">
        <v>45</v>
      </c>
      <c r="G1059" t="s">
        <v>79</v>
      </c>
      <c r="H1059">
        <v>4</v>
      </c>
      <c r="I1059">
        <v>90.19</v>
      </c>
      <c r="J1059" s="13">
        <v>0.05</v>
      </c>
      <c r="K1059">
        <v>342.73</v>
      </c>
      <c r="L1059">
        <v>247.68</v>
      </c>
      <c r="M1059">
        <v>95.05</v>
      </c>
      <c r="N1059" t="s">
        <v>26</v>
      </c>
    </row>
    <row r="1060" spans="1:14" x14ac:dyDescent="0.3">
      <c r="A1060" t="s">
        <v>1114</v>
      </c>
      <c r="B1060" s="1">
        <v>46019</v>
      </c>
      <c r="C1060" t="s">
        <v>43</v>
      </c>
      <c r="D1060" t="s">
        <v>16</v>
      </c>
      <c r="E1060" t="s">
        <v>24</v>
      </c>
      <c r="F1060" t="s">
        <v>32</v>
      </c>
      <c r="G1060" t="s">
        <v>19</v>
      </c>
      <c r="H1060">
        <v>6</v>
      </c>
      <c r="I1060">
        <v>607.91999999999996</v>
      </c>
      <c r="J1060" s="13">
        <v>0.03</v>
      </c>
      <c r="K1060">
        <v>3538.12</v>
      </c>
      <c r="L1060">
        <v>2653.09</v>
      </c>
      <c r="M1060">
        <v>885.03</v>
      </c>
      <c r="N1060" t="s">
        <v>70</v>
      </c>
    </row>
    <row r="1061" spans="1:14" x14ac:dyDescent="0.3">
      <c r="A1061" t="s">
        <v>1115</v>
      </c>
      <c r="B1061" s="1">
        <v>45812</v>
      </c>
      <c r="C1061" t="s">
        <v>28</v>
      </c>
      <c r="D1061" t="s">
        <v>31</v>
      </c>
      <c r="E1061" t="s">
        <v>24</v>
      </c>
      <c r="F1061" t="s">
        <v>18</v>
      </c>
      <c r="G1061" t="s">
        <v>25</v>
      </c>
      <c r="H1061">
        <v>1</v>
      </c>
      <c r="I1061">
        <v>1006.53</v>
      </c>
      <c r="J1061" s="13">
        <v>0.05</v>
      </c>
      <c r="K1061">
        <v>956.2</v>
      </c>
      <c r="L1061">
        <v>651.96</v>
      </c>
      <c r="M1061">
        <v>304.24</v>
      </c>
      <c r="N1061" t="s">
        <v>76</v>
      </c>
    </row>
    <row r="1062" spans="1:14" x14ac:dyDescent="0.3">
      <c r="A1062" t="s">
        <v>1116</v>
      </c>
      <c r="B1062" s="1">
        <v>45767</v>
      </c>
      <c r="C1062" t="s">
        <v>22</v>
      </c>
      <c r="D1062" t="s">
        <v>31</v>
      </c>
      <c r="E1062" t="s">
        <v>24</v>
      </c>
      <c r="F1062" t="s">
        <v>18</v>
      </c>
      <c r="G1062" t="s">
        <v>19</v>
      </c>
      <c r="H1062">
        <v>3</v>
      </c>
      <c r="I1062">
        <v>88.47</v>
      </c>
      <c r="J1062" s="13">
        <v>0.1</v>
      </c>
      <c r="K1062">
        <v>238.86</v>
      </c>
      <c r="L1062">
        <v>179.9</v>
      </c>
      <c r="M1062">
        <v>58.96</v>
      </c>
      <c r="N1062" t="s">
        <v>63</v>
      </c>
    </row>
    <row r="1063" spans="1:14" x14ac:dyDescent="0.3">
      <c r="A1063" t="s">
        <v>1117</v>
      </c>
      <c r="B1063" s="1">
        <v>45747</v>
      </c>
      <c r="C1063" t="s">
        <v>15</v>
      </c>
      <c r="D1063" t="s">
        <v>23</v>
      </c>
      <c r="E1063" t="s">
        <v>24</v>
      </c>
      <c r="F1063" t="s">
        <v>32</v>
      </c>
      <c r="G1063" t="s">
        <v>19</v>
      </c>
      <c r="H1063">
        <v>5</v>
      </c>
      <c r="I1063">
        <v>78.25</v>
      </c>
      <c r="J1063" s="13">
        <v>0</v>
      </c>
      <c r="K1063">
        <v>391.27</v>
      </c>
      <c r="L1063">
        <v>290.10000000000002</v>
      </c>
      <c r="M1063">
        <v>101.17</v>
      </c>
      <c r="N1063" t="s">
        <v>53</v>
      </c>
    </row>
    <row r="1064" spans="1:14" x14ac:dyDescent="0.3">
      <c r="A1064" t="s">
        <v>1118</v>
      </c>
      <c r="B1064" s="1">
        <v>45785</v>
      </c>
      <c r="C1064" t="s">
        <v>69</v>
      </c>
      <c r="D1064" t="s">
        <v>16</v>
      </c>
      <c r="E1064" t="s">
        <v>24</v>
      </c>
      <c r="F1064" t="s">
        <v>18</v>
      </c>
      <c r="G1064" t="s">
        <v>19</v>
      </c>
      <c r="H1064">
        <v>3</v>
      </c>
      <c r="I1064">
        <v>277.41000000000003</v>
      </c>
      <c r="J1064" s="13">
        <v>0.05</v>
      </c>
      <c r="K1064">
        <v>790.62</v>
      </c>
      <c r="L1064">
        <v>588.1</v>
      </c>
      <c r="M1064">
        <v>202.52</v>
      </c>
      <c r="N1064" t="s">
        <v>72</v>
      </c>
    </row>
    <row r="1065" spans="1:14" x14ac:dyDescent="0.3">
      <c r="A1065" t="s">
        <v>1119</v>
      </c>
      <c r="B1065" s="1">
        <v>45991</v>
      </c>
      <c r="C1065" t="s">
        <v>59</v>
      </c>
      <c r="D1065" t="s">
        <v>31</v>
      </c>
      <c r="E1065" t="s">
        <v>44</v>
      </c>
      <c r="F1065" t="s">
        <v>32</v>
      </c>
      <c r="G1065" t="s">
        <v>19</v>
      </c>
      <c r="H1065">
        <v>4</v>
      </c>
      <c r="I1065">
        <v>30.21</v>
      </c>
      <c r="J1065" s="13">
        <v>0.1</v>
      </c>
      <c r="K1065">
        <v>108.74</v>
      </c>
      <c r="L1065">
        <v>75.510000000000005</v>
      </c>
      <c r="M1065">
        <v>33.229999999999997</v>
      </c>
      <c r="N1065" t="s">
        <v>60</v>
      </c>
    </row>
    <row r="1066" spans="1:14" x14ac:dyDescent="0.3">
      <c r="A1066" t="s">
        <v>1120</v>
      </c>
      <c r="B1066" s="1">
        <v>45897</v>
      </c>
      <c r="C1066" t="s">
        <v>36</v>
      </c>
      <c r="D1066" t="s">
        <v>41</v>
      </c>
      <c r="E1066" t="s">
        <v>24</v>
      </c>
      <c r="F1066" t="s">
        <v>45</v>
      </c>
      <c r="G1066" t="s">
        <v>33</v>
      </c>
      <c r="H1066">
        <v>1</v>
      </c>
      <c r="I1066">
        <v>131.19</v>
      </c>
      <c r="J1066" s="13">
        <v>0.03</v>
      </c>
      <c r="K1066">
        <v>127.25</v>
      </c>
      <c r="L1066">
        <v>100.83</v>
      </c>
      <c r="M1066">
        <v>26.42</v>
      </c>
      <c r="N1066" t="s">
        <v>20</v>
      </c>
    </row>
    <row r="1067" spans="1:14" x14ac:dyDescent="0.3">
      <c r="A1067" t="s">
        <v>1121</v>
      </c>
      <c r="B1067" s="1">
        <v>45831</v>
      </c>
      <c r="C1067" t="s">
        <v>40</v>
      </c>
      <c r="D1067" t="s">
        <v>16</v>
      </c>
      <c r="E1067" t="s">
        <v>17</v>
      </c>
      <c r="F1067" t="s">
        <v>45</v>
      </c>
      <c r="G1067" t="s">
        <v>46</v>
      </c>
      <c r="H1067">
        <v>2</v>
      </c>
      <c r="I1067">
        <v>112.4</v>
      </c>
      <c r="J1067" s="13">
        <v>0.05</v>
      </c>
      <c r="K1067">
        <v>213.57</v>
      </c>
      <c r="L1067">
        <v>166.14</v>
      </c>
      <c r="M1067">
        <v>47.43</v>
      </c>
      <c r="N1067" t="s">
        <v>76</v>
      </c>
    </row>
    <row r="1068" spans="1:14" x14ac:dyDescent="0.3">
      <c r="A1068" t="s">
        <v>1122</v>
      </c>
      <c r="B1068" s="1">
        <v>45693</v>
      </c>
      <c r="C1068" t="s">
        <v>40</v>
      </c>
      <c r="D1068" t="s">
        <v>31</v>
      </c>
      <c r="E1068" t="s">
        <v>17</v>
      </c>
      <c r="F1068" t="s">
        <v>45</v>
      </c>
      <c r="G1068" t="s">
        <v>19</v>
      </c>
      <c r="H1068">
        <v>1</v>
      </c>
      <c r="I1068">
        <v>112.86</v>
      </c>
      <c r="J1068" s="13">
        <v>0.05</v>
      </c>
      <c r="K1068">
        <v>107.22</v>
      </c>
      <c r="L1068">
        <v>67.459999999999994</v>
      </c>
      <c r="M1068">
        <v>39.76</v>
      </c>
      <c r="N1068" t="s">
        <v>102</v>
      </c>
    </row>
    <row r="1069" spans="1:14" x14ac:dyDescent="0.3">
      <c r="A1069" t="s">
        <v>1123</v>
      </c>
      <c r="B1069" s="1">
        <v>45920</v>
      </c>
      <c r="C1069" t="s">
        <v>28</v>
      </c>
      <c r="D1069" t="s">
        <v>16</v>
      </c>
      <c r="E1069" t="s">
        <v>24</v>
      </c>
      <c r="F1069" t="s">
        <v>18</v>
      </c>
      <c r="G1069" t="s">
        <v>19</v>
      </c>
      <c r="H1069">
        <v>4</v>
      </c>
      <c r="I1069">
        <v>889.11</v>
      </c>
      <c r="J1069" s="13">
        <v>0.05</v>
      </c>
      <c r="K1069">
        <v>3378.6</v>
      </c>
      <c r="L1069">
        <v>2689.13</v>
      </c>
      <c r="M1069">
        <v>689.47</v>
      </c>
      <c r="N1069" t="s">
        <v>38</v>
      </c>
    </row>
    <row r="1070" spans="1:14" x14ac:dyDescent="0.3">
      <c r="A1070" t="s">
        <v>1124</v>
      </c>
      <c r="B1070" s="1">
        <v>45994</v>
      </c>
      <c r="C1070" t="s">
        <v>22</v>
      </c>
      <c r="D1070" t="s">
        <v>23</v>
      </c>
      <c r="E1070" t="s">
        <v>17</v>
      </c>
      <c r="F1070" t="s">
        <v>45</v>
      </c>
      <c r="G1070" t="s">
        <v>37</v>
      </c>
      <c r="H1070">
        <v>3</v>
      </c>
      <c r="I1070">
        <v>82.75</v>
      </c>
      <c r="J1070" s="13">
        <v>0</v>
      </c>
      <c r="K1070">
        <v>248.26</v>
      </c>
      <c r="L1070">
        <v>183.96</v>
      </c>
      <c r="M1070">
        <v>64.3</v>
      </c>
      <c r="N1070" t="s">
        <v>70</v>
      </c>
    </row>
    <row r="1071" spans="1:14" x14ac:dyDescent="0.3">
      <c r="A1071" t="s">
        <v>1125</v>
      </c>
      <c r="B1071" s="1">
        <v>45727</v>
      </c>
      <c r="C1071" t="s">
        <v>40</v>
      </c>
      <c r="D1071" t="s">
        <v>16</v>
      </c>
      <c r="E1071" t="s">
        <v>24</v>
      </c>
      <c r="F1071" t="s">
        <v>18</v>
      </c>
      <c r="G1071" t="s">
        <v>19</v>
      </c>
      <c r="H1071">
        <v>8</v>
      </c>
      <c r="I1071">
        <v>109.98</v>
      </c>
      <c r="J1071" s="13">
        <v>0.05</v>
      </c>
      <c r="K1071">
        <v>835.81</v>
      </c>
      <c r="L1071">
        <v>523.36</v>
      </c>
      <c r="M1071">
        <v>312.45</v>
      </c>
      <c r="N1071" t="s">
        <v>53</v>
      </c>
    </row>
    <row r="1072" spans="1:14" x14ac:dyDescent="0.3">
      <c r="A1072" t="s">
        <v>1126</v>
      </c>
      <c r="B1072" s="1">
        <v>45886</v>
      </c>
      <c r="C1072" t="s">
        <v>59</v>
      </c>
      <c r="D1072" t="s">
        <v>31</v>
      </c>
      <c r="E1072" t="s">
        <v>17</v>
      </c>
      <c r="F1072" t="s">
        <v>18</v>
      </c>
      <c r="G1072" t="s">
        <v>25</v>
      </c>
      <c r="H1072">
        <v>6</v>
      </c>
      <c r="I1072">
        <v>31.21</v>
      </c>
      <c r="J1072" s="13">
        <v>0.05</v>
      </c>
      <c r="K1072">
        <v>177.92</v>
      </c>
      <c r="L1072">
        <v>113.78</v>
      </c>
      <c r="M1072">
        <v>64.14</v>
      </c>
      <c r="N1072" t="s">
        <v>20</v>
      </c>
    </row>
    <row r="1073" spans="1:14" x14ac:dyDescent="0.3">
      <c r="A1073" t="s">
        <v>1127</v>
      </c>
      <c r="B1073" s="1">
        <v>45788</v>
      </c>
      <c r="C1073" t="s">
        <v>59</v>
      </c>
      <c r="D1073" t="s">
        <v>41</v>
      </c>
      <c r="E1073" t="s">
        <v>24</v>
      </c>
      <c r="F1073" t="s">
        <v>45</v>
      </c>
      <c r="G1073" t="s">
        <v>19</v>
      </c>
      <c r="H1073">
        <v>4</v>
      </c>
      <c r="I1073">
        <v>31.75</v>
      </c>
      <c r="J1073" s="13">
        <v>0.05</v>
      </c>
      <c r="K1073">
        <v>120.65</v>
      </c>
      <c r="L1073">
        <v>95.08</v>
      </c>
      <c r="M1073">
        <v>25.57</v>
      </c>
      <c r="N1073" t="s">
        <v>72</v>
      </c>
    </row>
    <row r="1074" spans="1:14" x14ac:dyDescent="0.3">
      <c r="A1074" t="s">
        <v>1128</v>
      </c>
      <c r="B1074" s="1">
        <v>45712</v>
      </c>
      <c r="C1074" t="s">
        <v>48</v>
      </c>
      <c r="D1074" t="s">
        <v>31</v>
      </c>
      <c r="E1074" t="s">
        <v>24</v>
      </c>
      <c r="F1074" t="s">
        <v>45</v>
      </c>
      <c r="G1074" t="s">
        <v>50</v>
      </c>
      <c r="H1074">
        <v>5</v>
      </c>
      <c r="I1074">
        <v>350.28</v>
      </c>
      <c r="J1074" s="13">
        <v>0</v>
      </c>
      <c r="K1074">
        <v>1751.41</v>
      </c>
      <c r="L1074">
        <v>1137.6199999999999</v>
      </c>
      <c r="M1074">
        <v>613.79</v>
      </c>
      <c r="N1074" t="s">
        <v>102</v>
      </c>
    </row>
    <row r="1075" spans="1:14" x14ac:dyDescent="0.3">
      <c r="A1075" t="s">
        <v>1129</v>
      </c>
      <c r="B1075" s="1">
        <v>45868</v>
      </c>
      <c r="C1075" t="s">
        <v>48</v>
      </c>
      <c r="D1075" t="s">
        <v>31</v>
      </c>
      <c r="E1075" t="s">
        <v>24</v>
      </c>
      <c r="F1075" t="s">
        <v>18</v>
      </c>
      <c r="G1075" t="s">
        <v>33</v>
      </c>
      <c r="H1075">
        <v>5</v>
      </c>
      <c r="I1075">
        <v>317.06</v>
      </c>
      <c r="J1075" s="13">
        <v>0.05</v>
      </c>
      <c r="K1075">
        <v>1506.04</v>
      </c>
      <c r="L1075">
        <v>1084.3699999999999</v>
      </c>
      <c r="M1075">
        <v>421.67</v>
      </c>
      <c r="N1075" t="s">
        <v>26</v>
      </c>
    </row>
    <row r="1076" spans="1:14" x14ac:dyDescent="0.3">
      <c r="A1076" t="s">
        <v>1130</v>
      </c>
      <c r="B1076" s="1">
        <v>45833</v>
      </c>
      <c r="C1076" t="s">
        <v>28</v>
      </c>
      <c r="D1076" t="s">
        <v>16</v>
      </c>
      <c r="E1076" t="s">
        <v>24</v>
      </c>
      <c r="F1076" t="s">
        <v>18</v>
      </c>
      <c r="G1076" t="s">
        <v>56</v>
      </c>
      <c r="H1076">
        <v>5</v>
      </c>
      <c r="I1076">
        <v>1007.51</v>
      </c>
      <c r="J1076" s="13">
        <v>0</v>
      </c>
      <c r="K1076">
        <v>5037.55</v>
      </c>
      <c r="L1076">
        <v>3541.62</v>
      </c>
      <c r="M1076">
        <v>1495.93</v>
      </c>
      <c r="N1076" t="s">
        <v>76</v>
      </c>
    </row>
    <row r="1077" spans="1:14" x14ac:dyDescent="0.3">
      <c r="A1077" t="s">
        <v>1131</v>
      </c>
      <c r="B1077" s="1">
        <v>45894</v>
      </c>
      <c r="C1077" t="s">
        <v>67</v>
      </c>
      <c r="D1077" t="s">
        <v>23</v>
      </c>
      <c r="E1077" t="s">
        <v>24</v>
      </c>
      <c r="F1077" t="s">
        <v>18</v>
      </c>
      <c r="G1077" t="s">
        <v>50</v>
      </c>
      <c r="H1077">
        <v>3</v>
      </c>
      <c r="I1077">
        <v>189.74</v>
      </c>
      <c r="J1077" s="13">
        <v>0.05</v>
      </c>
      <c r="K1077">
        <v>540.75</v>
      </c>
      <c r="L1077">
        <v>435.17</v>
      </c>
      <c r="M1077">
        <v>105.58</v>
      </c>
      <c r="N1077" t="s">
        <v>20</v>
      </c>
    </row>
    <row r="1078" spans="1:14" x14ac:dyDescent="0.3">
      <c r="A1078" t="s">
        <v>1132</v>
      </c>
      <c r="B1078" s="1">
        <v>45724</v>
      </c>
      <c r="C1078" t="s">
        <v>36</v>
      </c>
      <c r="D1078" t="s">
        <v>31</v>
      </c>
      <c r="E1078" t="s">
        <v>17</v>
      </c>
      <c r="F1078" t="s">
        <v>18</v>
      </c>
      <c r="G1078" t="s">
        <v>56</v>
      </c>
      <c r="H1078">
        <v>3</v>
      </c>
      <c r="I1078">
        <v>141.4</v>
      </c>
      <c r="J1078" s="13">
        <v>0.1</v>
      </c>
      <c r="K1078">
        <v>381.79</v>
      </c>
      <c r="L1078">
        <v>323.45999999999998</v>
      </c>
      <c r="M1078">
        <v>58.33</v>
      </c>
      <c r="N1078" t="s">
        <v>53</v>
      </c>
    </row>
    <row r="1079" spans="1:14" x14ac:dyDescent="0.3">
      <c r="A1079" t="s">
        <v>1133</v>
      </c>
      <c r="B1079" s="1">
        <v>45783</v>
      </c>
      <c r="C1079" t="s">
        <v>36</v>
      </c>
      <c r="D1079" t="s">
        <v>16</v>
      </c>
      <c r="E1079" t="s">
        <v>17</v>
      </c>
      <c r="F1079" t="s">
        <v>18</v>
      </c>
      <c r="G1079" t="s">
        <v>46</v>
      </c>
      <c r="H1079">
        <v>1</v>
      </c>
      <c r="I1079">
        <v>151.37</v>
      </c>
      <c r="J1079" s="13">
        <v>0.05</v>
      </c>
      <c r="K1079">
        <v>143.80000000000001</v>
      </c>
      <c r="L1079">
        <v>96.46</v>
      </c>
      <c r="M1079">
        <v>47.34</v>
      </c>
      <c r="N1079" t="s">
        <v>72</v>
      </c>
    </row>
    <row r="1080" spans="1:14" x14ac:dyDescent="0.3">
      <c r="A1080" t="s">
        <v>1134</v>
      </c>
      <c r="B1080" s="1">
        <v>45795</v>
      </c>
      <c r="C1080" t="s">
        <v>28</v>
      </c>
      <c r="D1080" t="s">
        <v>31</v>
      </c>
      <c r="E1080" t="s">
        <v>24</v>
      </c>
      <c r="F1080" t="s">
        <v>18</v>
      </c>
      <c r="G1080" t="s">
        <v>56</v>
      </c>
      <c r="H1080">
        <v>2</v>
      </c>
      <c r="I1080">
        <v>985.52</v>
      </c>
      <c r="J1080" s="13">
        <v>0.05</v>
      </c>
      <c r="K1080">
        <v>1872.48</v>
      </c>
      <c r="L1080">
        <v>1261.82</v>
      </c>
      <c r="M1080">
        <v>610.66</v>
      </c>
      <c r="N1080" t="s">
        <v>72</v>
      </c>
    </row>
    <row r="1081" spans="1:14" x14ac:dyDescent="0.3">
      <c r="A1081" t="s">
        <v>1135</v>
      </c>
      <c r="B1081" s="1">
        <v>45706</v>
      </c>
      <c r="C1081" t="s">
        <v>28</v>
      </c>
      <c r="D1081" t="s">
        <v>41</v>
      </c>
      <c r="E1081" t="s">
        <v>24</v>
      </c>
      <c r="F1081" t="s">
        <v>32</v>
      </c>
      <c r="G1081" t="s">
        <v>56</v>
      </c>
      <c r="H1081">
        <v>1</v>
      </c>
      <c r="I1081">
        <v>968.36</v>
      </c>
      <c r="J1081" s="13">
        <v>0.05</v>
      </c>
      <c r="K1081">
        <v>919.94</v>
      </c>
      <c r="L1081">
        <v>571.84</v>
      </c>
      <c r="M1081">
        <v>348.1</v>
      </c>
      <c r="N1081" t="s">
        <v>102</v>
      </c>
    </row>
    <row r="1082" spans="1:14" x14ac:dyDescent="0.3">
      <c r="A1082" t="s">
        <v>1136</v>
      </c>
      <c r="B1082" s="1">
        <v>45689</v>
      </c>
      <c r="C1082" t="s">
        <v>40</v>
      </c>
      <c r="D1082" t="s">
        <v>31</v>
      </c>
      <c r="E1082" t="s">
        <v>44</v>
      </c>
      <c r="F1082" t="s">
        <v>18</v>
      </c>
      <c r="G1082" t="s">
        <v>33</v>
      </c>
      <c r="H1082">
        <v>3</v>
      </c>
      <c r="I1082">
        <v>104.82</v>
      </c>
      <c r="J1082" s="13">
        <v>0.05</v>
      </c>
      <c r="K1082">
        <v>298.73</v>
      </c>
      <c r="L1082">
        <v>240.51</v>
      </c>
      <c r="M1082">
        <v>58.22</v>
      </c>
      <c r="N1082" t="s">
        <v>102</v>
      </c>
    </row>
    <row r="1083" spans="1:14" x14ac:dyDescent="0.3">
      <c r="A1083" t="s">
        <v>1137</v>
      </c>
      <c r="B1083" s="1">
        <v>45714</v>
      </c>
      <c r="C1083" t="s">
        <v>59</v>
      </c>
      <c r="D1083" t="s">
        <v>31</v>
      </c>
      <c r="E1083" t="s">
        <v>24</v>
      </c>
      <c r="F1083" t="s">
        <v>18</v>
      </c>
      <c r="G1083" t="s">
        <v>56</v>
      </c>
      <c r="H1083">
        <v>2</v>
      </c>
      <c r="I1083">
        <v>34.200000000000003</v>
      </c>
      <c r="J1083" s="13">
        <v>0.1</v>
      </c>
      <c r="K1083">
        <v>61.57</v>
      </c>
      <c r="L1083">
        <v>50.93</v>
      </c>
      <c r="M1083">
        <v>10.64</v>
      </c>
      <c r="N1083" t="s">
        <v>102</v>
      </c>
    </row>
    <row r="1084" spans="1:14" x14ac:dyDescent="0.3">
      <c r="A1084" t="s">
        <v>1138</v>
      </c>
      <c r="B1084" s="1">
        <v>45663</v>
      </c>
      <c r="C1084" t="s">
        <v>36</v>
      </c>
      <c r="D1084" t="s">
        <v>41</v>
      </c>
      <c r="E1084" t="s">
        <v>17</v>
      </c>
      <c r="F1084" t="s">
        <v>18</v>
      </c>
      <c r="G1084" t="s">
        <v>25</v>
      </c>
      <c r="H1084">
        <v>1</v>
      </c>
      <c r="I1084">
        <v>150.69999999999999</v>
      </c>
      <c r="J1084" s="13">
        <v>0</v>
      </c>
      <c r="K1084">
        <v>150.69999999999999</v>
      </c>
      <c r="L1084">
        <v>101.16</v>
      </c>
      <c r="M1084">
        <v>49.54</v>
      </c>
      <c r="N1084" t="s">
        <v>34</v>
      </c>
    </row>
    <row r="1085" spans="1:14" x14ac:dyDescent="0.3">
      <c r="A1085" t="s">
        <v>1139</v>
      </c>
      <c r="B1085" s="1">
        <v>45837</v>
      </c>
      <c r="C1085" t="s">
        <v>104</v>
      </c>
      <c r="D1085" t="s">
        <v>31</v>
      </c>
      <c r="E1085" t="s">
        <v>24</v>
      </c>
      <c r="F1085" t="s">
        <v>45</v>
      </c>
      <c r="G1085" t="s">
        <v>25</v>
      </c>
      <c r="H1085">
        <v>7</v>
      </c>
      <c r="I1085">
        <v>86.35</v>
      </c>
      <c r="J1085" s="13">
        <v>0.05</v>
      </c>
      <c r="K1085">
        <v>574.21</v>
      </c>
      <c r="L1085">
        <v>389.64</v>
      </c>
      <c r="M1085">
        <v>184.57</v>
      </c>
      <c r="N1085" t="s">
        <v>76</v>
      </c>
    </row>
    <row r="1086" spans="1:14" x14ac:dyDescent="0.3">
      <c r="A1086" t="s">
        <v>1140</v>
      </c>
      <c r="B1086" s="1">
        <v>45876</v>
      </c>
      <c r="C1086" t="s">
        <v>15</v>
      </c>
      <c r="D1086" t="s">
        <v>31</v>
      </c>
      <c r="E1086" t="s">
        <v>44</v>
      </c>
      <c r="F1086" t="s">
        <v>18</v>
      </c>
      <c r="G1086" t="s">
        <v>37</v>
      </c>
      <c r="H1086">
        <v>1</v>
      </c>
      <c r="I1086">
        <v>72.819999999999993</v>
      </c>
      <c r="J1086" s="13">
        <v>0.05</v>
      </c>
      <c r="K1086">
        <v>69.180000000000007</v>
      </c>
      <c r="L1086">
        <v>54.26</v>
      </c>
      <c r="M1086">
        <v>14.92</v>
      </c>
      <c r="N1086" t="s">
        <v>20</v>
      </c>
    </row>
    <row r="1087" spans="1:14" x14ac:dyDescent="0.3">
      <c r="A1087" t="s">
        <v>1141</v>
      </c>
      <c r="B1087" s="1">
        <v>45772</v>
      </c>
      <c r="C1087" t="s">
        <v>28</v>
      </c>
      <c r="D1087" t="s">
        <v>31</v>
      </c>
      <c r="E1087" t="s">
        <v>44</v>
      </c>
      <c r="F1087" t="s">
        <v>18</v>
      </c>
      <c r="G1087" t="s">
        <v>46</v>
      </c>
      <c r="H1087">
        <v>3</v>
      </c>
      <c r="I1087">
        <v>994.77</v>
      </c>
      <c r="J1087" s="13">
        <v>0.1</v>
      </c>
      <c r="K1087">
        <v>2685.88</v>
      </c>
      <c r="L1087">
        <v>2300.69</v>
      </c>
      <c r="M1087">
        <v>385.19</v>
      </c>
      <c r="N1087" t="s">
        <v>63</v>
      </c>
    </row>
    <row r="1088" spans="1:14" x14ac:dyDescent="0.3">
      <c r="A1088" t="s">
        <v>1142</v>
      </c>
      <c r="B1088" s="1">
        <v>45764</v>
      </c>
      <c r="C1088" t="s">
        <v>59</v>
      </c>
      <c r="D1088" t="s">
        <v>23</v>
      </c>
      <c r="E1088" t="s">
        <v>17</v>
      </c>
      <c r="F1088" t="s">
        <v>18</v>
      </c>
      <c r="G1088" t="s">
        <v>50</v>
      </c>
      <c r="H1088">
        <v>1</v>
      </c>
      <c r="I1088">
        <v>33.44</v>
      </c>
      <c r="J1088" s="13">
        <v>0</v>
      </c>
      <c r="K1088">
        <v>33.44</v>
      </c>
      <c r="L1088">
        <v>21.51</v>
      </c>
      <c r="M1088">
        <v>11.93</v>
      </c>
      <c r="N1088" t="s">
        <v>63</v>
      </c>
    </row>
    <row r="1089" spans="1:14" x14ac:dyDescent="0.3">
      <c r="A1089" t="s">
        <v>1143</v>
      </c>
      <c r="B1089" s="1">
        <v>45961</v>
      </c>
      <c r="C1089" t="s">
        <v>59</v>
      </c>
      <c r="D1089" t="s">
        <v>16</v>
      </c>
      <c r="E1089" t="s">
        <v>24</v>
      </c>
      <c r="F1089" t="s">
        <v>18</v>
      </c>
      <c r="G1089" t="s">
        <v>25</v>
      </c>
      <c r="H1089">
        <v>1</v>
      </c>
      <c r="I1089">
        <v>29.48</v>
      </c>
      <c r="J1089" s="13">
        <v>0.03</v>
      </c>
      <c r="K1089">
        <v>28.59</v>
      </c>
      <c r="L1089">
        <v>20.72</v>
      </c>
      <c r="M1089">
        <v>7.87</v>
      </c>
      <c r="N1089" t="s">
        <v>51</v>
      </c>
    </row>
    <row r="1090" spans="1:14" x14ac:dyDescent="0.3">
      <c r="A1090" t="s">
        <v>1144</v>
      </c>
      <c r="B1090" s="1">
        <v>45726</v>
      </c>
      <c r="C1090" t="s">
        <v>30</v>
      </c>
      <c r="D1090" t="s">
        <v>31</v>
      </c>
      <c r="E1090" t="s">
        <v>24</v>
      </c>
      <c r="F1090" t="s">
        <v>45</v>
      </c>
      <c r="G1090" t="s">
        <v>56</v>
      </c>
      <c r="H1090">
        <v>2</v>
      </c>
      <c r="I1090">
        <v>50.6</v>
      </c>
      <c r="J1090" s="13">
        <v>0.05</v>
      </c>
      <c r="K1090">
        <v>96.13</v>
      </c>
      <c r="L1090">
        <v>59.57</v>
      </c>
      <c r="M1090">
        <v>36.56</v>
      </c>
      <c r="N1090" t="s">
        <v>53</v>
      </c>
    </row>
    <row r="1091" spans="1:14" x14ac:dyDescent="0.3">
      <c r="A1091" t="s">
        <v>1145</v>
      </c>
      <c r="B1091" s="1">
        <v>45908</v>
      </c>
      <c r="C1091" t="s">
        <v>36</v>
      </c>
      <c r="D1091" t="s">
        <v>41</v>
      </c>
      <c r="E1091" t="s">
        <v>44</v>
      </c>
      <c r="F1091" t="s">
        <v>32</v>
      </c>
      <c r="G1091" t="s">
        <v>50</v>
      </c>
      <c r="H1091">
        <v>1</v>
      </c>
      <c r="I1091">
        <v>136.58000000000001</v>
      </c>
      <c r="J1091" s="13">
        <v>0.05</v>
      </c>
      <c r="K1091">
        <v>129.75</v>
      </c>
      <c r="L1091">
        <v>96.03</v>
      </c>
      <c r="M1091">
        <v>33.72</v>
      </c>
      <c r="N1091" t="s">
        <v>38</v>
      </c>
    </row>
    <row r="1092" spans="1:14" x14ac:dyDescent="0.3">
      <c r="A1092" t="s">
        <v>1146</v>
      </c>
      <c r="B1092" s="1">
        <v>46014</v>
      </c>
      <c r="C1092" t="s">
        <v>15</v>
      </c>
      <c r="D1092" t="s">
        <v>23</v>
      </c>
      <c r="E1092" t="s">
        <v>17</v>
      </c>
      <c r="F1092" t="s">
        <v>18</v>
      </c>
      <c r="G1092" t="s">
        <v>46</v>
      </c>
      <c r="H1092">
        <v>1</v>
      </c>
      <c r="I1092">
        <v>74.459999999999994</v>
      </c>
      <c r="J1092" s="13">
        <v>0.05</v>
      </c>
      <c r="K1092">
        <v>70.73</v>
      </c>
      <c r="L1092">
        <v>47.48</v>
      </c>
      <c r="M1092">
        <v>23.25</v>
      </c>
      <c r="N1092" t="s">
        <v>70</v>
      </c>
    </row>
    <row r="1093" spans="1:14" x14ac:dyDescent="0.3">
      <c r="A1093" t="s">
        <v>1147</v>
      </c>
      <c r="B1093" s="1">
        <v>45773</v>
      </c>
      <c r="C1093" t="s">
        <v>59</v>
      </c>
      <c r="D1093" t="s">
        <v>41</v>
      </c>
      <c r="E1093" t="s">
        <v>17</v>
      </c>
      <c r="F1093" t="s">
        <v>32</v>
      </c>
      <c r="G1093" t="s">
        <v>19</v>
      </c>
      <c r="H1093">
        <v>1</v>
      </c>
      <c r="I1093">
        <v>34.06</v>
      </c>
      <c r="J1093" s="13">
        <v>0</v>
      </c>
      <c r="K1093">
        <v>34.06</v>
      </c>
      <c r="L1093">
        <v>24.13</v>
      </c>
      <c r="M1093">
        <v>9.93</v>
      </c>
      <c r="N1093" t="s">
        <v>63</v>
      </c>
    </row>
    <row r="1094" spans="1:14" x14ac:dyDescent="0.3">
      <c r="A1094" t="s">
        <v>1148</v>
      </c>
      <c r="B1094" s="1">
        <v>46014</v>
      </c>
      <c r="C1094" t="s">
        <v>40</v>
      </c>
      <c r="D1094" t="s">
        <v>31</v>
      </c>
      <c r="E1094" t="s">
        <v>44</v>
      </c>
      <c r="F1094" t="s">
        <v>18</v>
      </c>
      <c r="G1094" t="s">
        <v>25</v>
      </c>
      <c r="H1094">
        <v>2</v>
      </c>
      <c r="I1094">
        <v>100.64</v>
      </c>
      <c r="J1094" s="13">
        <v>0.1</v>
      </c>
      <c r="K1094">
        <v>181.16</v>
      </c>
      <c r="L1094">
        <v>120.55</v>
      </c>
      <c r="M1094">
        <v>60.61</v>
      </c>
      <c r="N1094" t="s">
        <v>70</v>
      </c>
    </row>
    <row r="1095" spans="1:14" x14ac:dyDescent="0.3">
      <c r="A1095" t="s">
        <v>1149</v>
      </c>
      <c r="B1095" s="1">
        <v>45735</v>
      </c>
      <c r="C1095" t="s">
        <v>69</v>
      </c>
      <c r="D1095" t="s">
        <v>16</v>
      </c>
      <c r="E1095" t="s">
        <v>17</v>
      </c>
      <c r="F1095" t="s">
        <v>18</v>
      </c>
      <c r="G1095" t="s">
        <v>56</v>
      </c>
      <c r="H1095">
        <v>1</v>
      </c>
      <c r="I1095">
        <v>264.73</v>
      </c>
      <c r="J1095" s="13">
        <v>0</v>
      </c>
      <c r="K1095">
        <v>264.73</v>
      </c>
      <c r="L1095">
        <v>185.53</v>
      </c>
      <c r="M1095">
        <v>79.2</v>
      </c>
      <c r="N1095" t="s">
        <v>53</v>
      </c>
    </row>
    <row r="1096" spans="1:14" x14ac:dyDescent="0.3">
      <c r="A1096" t="s">
        <v>1150</v>
      </c>
      <c r="B1096" s="1">
        <v>45848</v>
      </c>
      <c r="C1096" t="s">
        <v>30</v>
      </c>
      <c r="D1096" t="s">
        <v>31</v>
      </c>
      <c r="E1096" t="s">
        <v>24</v>
      </c>
      <c r="F1096" t="s">
        <v>18</v>
      </c>
      <c r="G1096" t="s">
        <v>37</v>
      </c>
      <c r="H1096">
        <v>2</v>
      </c>
      <c r="I1096">
        <v>53.31</v>
      </c>
      <c r="J1096" s="13">
        <v>0.05</v>
      </c>
      <c r="K1096">
        <v>101.28</v>
      </c>
      <c r="L1096">
        <v>68.959999999999994</v>
      </c>
      <c r="M1096">
        <v>32.32</v>
      </c>
      <c r="N1096" t="s">
        <v>26</v>
      </c>
    </row>
    <row r="1097" spans="1:14" x14ac:dyDescent="0.3">
      <c r="A1097" t="s">
        <v>1151</v>
      </c>
      <c r="B1097" s="1">
        <v>45723</v>
      </c>
      <c r="C1097" t="s">
        <v>48</v>
      </c>
      <c r="D1097" t="s">
        <v>31</v>
      </c>
      <c r="E1097" t="s">
        <v>44</v>
      </c>
      <c r="F1097" t="s">
        <v>18</v>
      </c>
      <c r="G1097" t="s">
        <v>25</v>
      </c>
      <c r="H1097">
        <v>4</v>
      </c>
      <c r="I1097">
        <v>312.66000000000003</v>
      </c>
      <c r="J1097" s="13">
        <v>0.03</v>
      </c>
      <c r="K1097">
        <v>1213.1400000000001</v>
      </c>
      <c r="L1097">
        <v>802.92</v>
      </c>
      <c r="M1097">
        <v>410.22</v>
      </c>
      <c r="N1097" t="s">
        <v>53</v>
      </c>
    </row>
    <row r="1098" spans="1:14" x14ac:dyDescent="0.3">
      <c r="A1098" t="s">
        <v>1152</v>
      </c>
      <c r="B1098" s="1">
        <v>45925</v>
      </c>
      <c r="C1098" t="s">
        <v>104</v>
      </c>
      <c r="D1098" t="s">
        <v>31</v>
      </c>
      <c r="E1098" t="s">
        <v>17</v>
      </c>
      <c r="F1098" t="s">
        <v>45</v>
      </c>
      <c r="G1098" t="s">
        <v>37</v>
      </c>
      <c r="H1098">
        <v>6</v>
      </c>
      <c r="I1098">
        <v>100.44</v>
      </c>
      <c r="J1098" s="13">
        <v>0.1</v>
      </c>
      <c r="K1098">
        <v>542.37</v>
      </c>
      <c r="L1098">
        <v>419.7</v>
      </c>
      <c r="M1098">
        <v>122.67</v>
      </c>
      <c r="N1098" t="s">
        <v>38</v>
      </c>
    </row>
    <row r="1099" spans="1:14" x14ac:dyDescent="0.3">
      <c r="A1099" t="s">
        <v>1153</v>
      </c>
      <c r="B1099" s="1">
        <v>45668</v>
      </c>
      <c r="C1099" t="s">
        <v>40</v>
      </c>
      <c r="D1099" t="s">
        <v>16</v>
      </c>
      <c r="E1099" t="s">
        <v>24</v>
      </c>
      <c r="F1099" t="s">
        <v>18</v>
      </c>
      <c r="G1099" t="s">
        <v>19</v>
      </c>
      <c r="H1099">
        <v>3</v>
      </c>
      <c r="I1099">
        <v>118.6</v>
      </c>
      <c r="J1099" s="13">
        <v>0.1</v>
      </c>
      <c r="K1099">
        <v>320.23</v>
      </c>
      <c r="L1099">
        <v>234.99</v>
      </c>
      <c r="M1099">
        <v>85.24</v>
      </c>
      <c r="N1099" t="s">
        <v>34</v>
      </c>
    </row>
    <row r="1100" spans="1:14" x14ac:dyDescent="0.3">
      <c r="A1100" t="s">
        <v>1154</v>
      </c>
      <c r="B1100" s="1">
        <v>45719</v>
      </c>
      <c r="C1100" t="s">
        <v>59</v>
      </c>
      <c r="D1100" t="s">
        <v>31</v>
      </c>
      <c r="E1100" t="s">
        <v>24</v>
      </c>
      <c r="F1100" t="s">
        <v>18</v>
      </c>
      <c r="G1100" t="s">
        <v>79</v>
      </c>
      <c r="H1100">
        <v>1</v>
      </c>
      <c r="I1100">
        <v>33.36</v>
      </c>
      <c r="J1100" s="13">
        <v>0.03</v>
      </c>
      <c r="K1100">
        <v>32.36</v>
      </c>
      <c r="L1100">
        <v>20.399999999999999</v>
      </c>
      <c r="M1100">
        <v>11.96</v>
      </c>
      <c r="N1100" t="s">
        <v>53</v>
      </c>
    </row>
    <row r="1101" spans="1:14" x14ac:dyDescent="0.3">
      <c r="A1101" t="s">
        <v>1155</v>
      </c>
      <c r="B1101" s="1">
        <v>45935</v>
      </c>
      <c r="C1101" t="s">
        <v>69</v>
      </c>
      <c r="D1101" t="s">
        <v>23</v>
      </c>
      <c r="E1101" t="s">
        <v>17</v>
      </c>
      <c r="F1101" t="s">
        <v>18</v>
      </c>
      <c r="G1101" t="s">
        <v>19</v>
      </c>
      <c r="H1101">
        <v>5</v>
      </c>
      <c r="I1101">
        <v>304.85000000000002</v>
      </c>
      <c r="J1101" s="13">
        <v>0</v>
      </c>
      <c r="K1101">
        <v>1524.26</v>
      </c>
      <c r="L1101">
        <v>1008.01</v>
      </c>
      <c r="M1101">
        <v>516.25</v>
      </c>
      <c r="N1101" t="s">
        <v>51</v>
      </c>
    </row>
    <row r="1102" spans="1:14" x14ac:dyDescent="0.3">
      <c r="A1102" t="s">
        <v>1156</v>
      </c>
      <c r="B1102" s="1">
        <v>45806</v>
      </c>
      <c r="C1102" t="s">
        <v>30</v>
      </c>
      <c r="D1102" t="s">
        <v>41</v>
      </c>
      <c r="E1102" t="s">
        <v>24</v>
      </c>
      <c r="F1102" t="s">
        <v>18</v>
      </c>
      <c r="G1102" t="s">
        <v>33</v>
      </c>
      <c r="H1102">
        <v>4</v>
      </c>
      <c r="I1102">
        <v>57.5</v>
      </c>
      <c r="J1102" s="13">
        <v>0</v>
      </c>
      <c r="K1102">
        <v>229.98</v>
      </c>
      <c r="L1102">
        <v>175.46</v>
      </c>
      <c r="M1102">
        <v>54.52</v>
      </c>
      <c r="N1102" t="s">
        <v>72</v>
      </c>
    </row>
    <row r="1103" spans="1:14" x14ac:dyDescent="0.3">
      <c r="A1103" t="s">
        <v>1157</v>
      </c>
      <c r="B1103" s="1">
        <v>45992</v>
      </c>
      <c r="C1103" t="s">
        <v>28</v>
      </c>
      <c r="D1103" t="s">
        <v>41</v>
      </c>
      <c r="E1103" t="s">
        <v>24</v>
      </c>
      <c r="F1103" t="s">
        <v>18</v>
      </c>
      <c r="G1103" t="s">
        <v>46</v>
      </c>
      <c r="H1103">
        <v>1</v>
      </c>
      <c r="I1103">
        <v>1001.77</v>
      </c>
      <c r="J1103" s="13">
        <v>0</v>
      </c>
      <c r="K1103">
        <v>1001.77</v>
      </c>
      <c r="L1103">
        <v>712</v>
      </c>
      <c r="M1103">
        <v>289.77</v>
      </c>
      <c r="N1103" t="s">
        <v>70</v>
      </c>
    </row>
    <row r="1104" spans="1:14" x14ac:dyDescent="0.3">
      <c r="A1104" t="s">
        <v>1158</v>
      </c>
      <c r="B1104" s="1">
        <v>45850</v>
      </c>
      <c r="C1104" t="s">
        <v>22</v>
      </c>
      <c r="D1104" t="s">
        <v>41</v>
      </c>
      <c r="E1104" t="s">
        <v>44</v>
      </c>
      <c r="F1104" t="s">
        <v>45</v>
      </c>
      <c r="G1104" t="s">
        <v>25</v>
      </c>
      <c r="H1104">
        <v>1</v>
      </c>
      <c r="I1104">
        <v>88.4</v>
      </c>
      <c r="J1104" s="13">
        <v>0.1</v>
      </c>
      <c r="K1104">
        <v>79.56</v>
      </c>
      <c r="L1104">
        <v>53.11</v>
      </c>
      <c r="M1104">
        <v>26.45</v>
      </c>
      <c r="N1104" t="s">
        <v>26</v>
      </c>
    </row>
    <row r="1105" spans="1:14" x14ac:dyDescent="0.3">
      <c r="A1105" t="s">
        <v>1159</v>
      </c>
      <c r="B1105" s="1">
        <v>45778</v>
      </c>
      <c r="C1105" t="s">
        <v>69</v>
      </c>
      <c r="D1105" t="s">
        <v>31</v>
      </c>
      <c r="E1105" t="s">
        <v>24</v>
      </c>
      <c r="F1105" t="s">
        <v>45</v>
      </c>
      <c r="G1105" t="s">
        <v>79</v>
      </c>
      <c r="H1105">
        <v>2</v>
      </c>
      <c r="I1105">
        <v>303.60000000000002</v>
      </c>
      <c r="J1105" s="13">
        <v>0.03</v>
      </c>
      <c r="K1105">
        <v>588.98</v>
      </c>
      <c r="L1105">
        <v>409.37</v>
      </c>
      <c r="M1105">
        <v>179.61</v>
      </c>
      <c r="N1105" t="s">
        <v>72</v>
      </c>
    </row>
    <row r="1106" spans="1:14" x14ac:dyDescent="0.3">
      <c r="A1106" t="s">
        <v>1160</v>
      </c>
      <c r="B1106" s="1">
        <v>45758</v>
      </c>
      <c r="C1106" t="s">
        <v>40</v>
      </c>
      <c r="D1106" t="s">
        <v>41</v>
      </c>
      <c r="E1106" t="s">
        <v>24</v>
      </c>
      <c r="F1106" t="s">
        <v>45</v>
      </c>
      <c r="G1106" t="s">
        <v>46</v>
      </c>
      <c r="H1106">
        <v>1</v>
      </c>
      <c r="I1106">
        <v>118.19</v>
      </c>
      <c r="J1106" s="13">
        <v>0.03</v>
      </c>
      <c r="K1106">
        <v>114.64</v>
      </c>
      <c r="L1106">
        <v>72.290000000000006</v>
      </c>
      <c r="M1106">
        <v>42.35</v>
      </c>
      <c r="N1106" t="s">
        <v>63</v>
      </c>
    </row>
    <row r="1107" spans="1:14" x14ac:dyDescent="0.3">
      <c r="A1107" t="s">
        <v>1161</v>
      </c>
      <c r="B1107" s="1">
        <v>45937</v>
      </c>
      <c r="C1107" t="s">
        <v>59</v>
      </c>
      <c r="D1107" t="s">
        <v>23</v>
      </c>
      <c r="E1107" t="s">
        <v>17</v>
      </c>
      <c r="F1107" t="s">
        <v>18</v>
      </c>
      <c r="G1107" t="s">
        <v>33</v>
      </c>
      <c r="H1107">
        <v>6</v>
      </c>
      <c r="I1107">
        <v>33.93</v>
      </c>
      <c r="J1107" s="13">
        <v>0.05</v>
      </c>
      <c r="K1107">
        <v>193.37</v>
      </c>
      <c r="L1107">
        <v>150.75</v>
      </c>
      <c r="M1107">
        <v>42.62</v>
      </c>
      <c r="N1107" t="s">
        <v>51</v>
      </c>
    </row>
    <row r="1108" spans="1:14" x14ac:dyDescent="0.3">
      <c r="A1108" t="s">
        <v>1162</v>
      </c>
      <c r="B1108" s="1">
        <v>45878</v>
      </c>
      <c r="C1108" t="s">
        <v>104</v>
      </c>
      <c r="D1108" t="s">
        <v>31</v>
      </c>
      <c r="E1108" t="s">
        <v>17</v>
      </c>
      <c r="F1108" t="s">
        <v>18</v>
      </c>
      <c r="G1108" t="s">
        <v>33</v>
      </c>
      <c r="H1108">
        <v>2</v>
      </c>
      <c r="I1108">
        <v>88.58</v>
      </c>
      <c r="J1108" s="13">
        <v>0.1</v>
      </c>
      <c r="K1108">
        <v>159.44999999999999</v>
      </c>
      <c r="L1108">
        <v>137.72999999999999</v>
      </c>
      <c r="M1108">
        <v>21.72</v>
      </c>
      <c r="N1108" t="s">
        <v>20</v>
      </c>
    </row>
    <row r="1109" spans="1:14" x14ac:dyDescent="0.3">
      <c r="A1109" t="s">
        <v>1163</v>
      </c>
      <c r="B1109" s="1">
        <v>45909</v>
      </c>
      <c r="C1109" t="s">
        <v>30</v>
      </c>
      <c r="D1109" t="s">
        <v>16</v>
      </c>
      <c r="E1109" t="s">
        <v>17</v>
      </c>
      <c r="F1109" t="s">
        <v>45</v>
      </c>
      <c r="G1109" t="s">
        <v>56</v>
      </c>
      <c r="H1109">
        <v>3</v>
      </c>
      <c r="I1109">
        <v>51.97</v>
      </c>
      <c r="J1109" s="13">
        <v>0.05</v>
      </c>
      <c r="K1109">
        <v>148.13</v>
      </c>
      <c r="L1109">
        <v>119.9</v>
      </c>
      <c r="M1109">
        <v>28.23</v>
      </c>
      <c r="N1109" t="s">
        <v>38</v>
      </c>
    </row>
    <row r="1110" spans="1:14" x14ac:dyDescent="0.3">
      <c r="A1110" t="s">
        <v>1164</v>
      </c>
      <c r="B1110" s="1">
        <v>45701</v>
      </c>
      <c r="C1110" t="s">
        <v>15</v>
      </c>
      <c r="D1110" t="s">
        <v>16</v>
      </c>
      <c r="E1110" t="s">
        <v>17</v>
      </c>
      <c r="F1110" t="s">
        <v>18</v>
      </c>
      <c r="G1110" t="s">
        <v>79</v>
      </c>
      <c r="H1110">
        <v>2</v>
      </c>
      <c r="I1110">
        <v>80.56</v>
      </c>
      <c r="J1110" s="13">
        <v>0.05</v>
      </c>
      <c r="K1110">
        <v>153.06</v>
      </c>
      <c r="L1110">
        <v>97.25</v>
      </c>
      <c r="M1110">
        <v>55.81</v>
      </c>
      <c r="N1110" t="s">
        <v>102</v>
      </c>
    </row>
    <row r="1111" spans="1:14" x14ac:dyDescent="0.3">
      <c r="A1111" t="s">
        <v>1165</v>
      </c>
      <c r="B1111" s="1">
        <v>45787</v>
      </c>
      <c r="C1111" t="s">
        <v>104</v>
      </c>
      <c r="D1111" t="s">
        <v>16</v>
      </c>
      <c r="E1111" t="s">
        <v>17</v>
      </c>
      <c r="F1111" t="s">
        <v>45</v>
      </c>
      <c r="G1111" t="s">
        <v>33</v>
      </c>
      <c r="H1111">
        <v>2</v>
      </c>
      <c r="I1111">
        <v>98.76</v>
      </c>
      <c r="J1111" s="13">
        <v>0</v>
      </c>
      <c r="K1111">
        <v>197.53</v>
      </c>
      <c r="L1111">
        <v>130.29</v>
      </c>
      <c r="M1111">
        <v>67.239999999999995</v>
      </c>
      <c r="N1111" t="s">
        <v>72</v>
      </c>
    </row>
    <row r="1112" spans="1:14" x14ac:dyDescent="0.3">
      <c r="A1112" t="s">
        <v>1166</v>
      </c>
      <c r="B1112" s="1">
        <v>45670</v>
      </c>
      <c r="C1112" t="s">
        <v>59</v>
      </c>
      <c r="D1112" t="s">
        <v>16</v>
      </c>
      <c r="E1112" t="s">
        <v>17</v>
      </c>
      <c r="F1112" t="s">
        <v>18</v>
      </c>
      <c r="G1112" t="s">
        <v>25</v>
      </c>
      <c r="H1112">
        <v>1</v>
      </c>
      <c r="I1112">
        <v>32.049999999999997</v>
      </c>
      <c r="J1112" s="13">
        <v>0.03</v>
      </c>
      <c r="K1112">
        <v>31.09</v>
      </c>
      <c r="L1112">
        <v>23.85</v>
      </c>
      <c r="M1112">
        <v>7.24</v>
      </c>
      <c r="N1112" t="s">
        <v>34</v>
      </c>
    </row>
    <row r="1113" spans="1:14" x14ac:dyDescent="0.3">
      <c r="A1113" t="s">
        <v>1167</v>
      </c>
      <c r="B1113" s="1">
        <v>45963</v>
      </c>
      <c r="C1113" t="s">
        <v>30</v>
      </c>
      <c r="D1113" t="s">
        <v>41</v>
      </c>
      <c r="E1113" t="s">
        <v>24</v>
      </c>
      <c r="F1113" t="s">
        <v>45</v>
      </c>
      <c r="G1113" t="s">
        <v>19</v>
      </c>
      <c r="H1113">
        <v>2</v>
      </c>
      <c r="I1113">
        <v>49.61</v>
      </c>
      <c r="J1113" s="13">
        <v>0</v>
      </c>
      <c r="K1113">
        <v>99.22</v>
      </c>
      <c r="L1113">
        <v>70.64</v>
      </c>
      <c r="M1113">
        <v>28.58</v>
      </c>
      <c r="N1113" t="s">
        <v>60</v>
      </c>
    </row>
    <row r="1114" spans="1:14" x14ac:dyDescent="0.3">
      <c r="A1114" t="s">
        <v>1168</v>
      </c>
      <c r="B1114" s="1">
        <v>45773</v>
      </c>
      <c r="C1114" t="s">
        <v>36</v>
      </c>
      <c r="D1114" t="s">
        <v>23</v>
      </c>
      <c r="E1114" t="s">
        <v>17</v>
      </c>
      <c r="F1114" t="s">
        <v>32</v>
      </c>
      <c r="G1114" t="s">
        <v>25</v>
      </c>
      <c r="H1114">
        <v>2</v>
      </c>
      <c r="I1114">
        <v>133.82</v>
      </c>
      <c r="J1114" s="13">
        <v>0</v>
      </c>
      <c r="K1114">
        <v>267.64</v>
      </c>
      <c r="L1114">
        <v>165.92</v>
      </c>
      <c r="M1114">
        <v>101.72</v>
      </c>
      <c r="N1114" t="s">
        <v>63</v>
      </c>
    </row>
    <row r="1115" spans="1:14" x14ac:dyDescent="0.3">
      <c r="A1115" t="s">
        <v>1169</v>
      </c>
      <c r="B1115" s="1">
        <v>45675</v>
      </c>
      <c r="C1115" t="s">
        <v>69</v>
      </c>
      <c r="D1115" t="s">
        <v>41</v>
      </c>
      <c r="E1115" t="s">
        <v>44</v>
      </c>
      <c r="F1115" t="s">
        <v>18</v>
      </c>
      <c r="G1115" t="s">
        <v>19</v>
      </c>
      <c r="H1115">
        <v>2</v>
      </c>
      <c r="I1115">
        <v>252.15</v>
      </c>
      <c r="J1115" s="13">
        <v>0.03</v>
      </c>
      <c r="K1115">
        <v>489.17</v>
      </c>
      <c r="L1115">
        <v>348.46</v>
      </c>
      <c r="M1115">
        <v>140.71</v>
      </c>
      <c r="N1115" t="s">
        <v>34</v>
      </c>
    </row>
    <row r="1116" spans="1:14" x14ac:dyDescent="0.3">
      <c r="A1116" t="s">
        <v>1170</v>
      </c>
      <c r="B1116" s="1">
        <v>45938</v>
      </c>
      <c r="C1116" t="s">
        <v>69</v>
      </c>
      <c r="D1116" t="s">
        <v>16</v>
      </c>
      <c r="E1116" t="s">
        <v>17</v>
      </c>
      <c r="F1116" t="s">
        <v>18</v>
      </c>
      <c r="G1116" t="s">
        <v>37</v>
      </c>
      <c r="H1116">
        <v>1</v>
      </c>
      <c r="I1116">
        <v>278.82</v>
      </c>
      <c r="J1116" s="13">
        <v>0.05</v>
      </c>
      <c r="K1116">
        <v>264.88</v>
      </c>
      <c r="L1116">
        <v>165.82</v>
      </c>
      <c r="M1116">
        <v>99.06</v>
      </c>
      <c r="N1116" t="s">
        <v>51</v>
      </c>
    </row>
    <row r="1117" spans="1:14" x14ac:dyDescent="0.3">
      <c r="A1117" t="s">
        <v>1171</v>
      </c>
      <c r="B1117" s="1">
        <v>45970</v>
      </c>
      <c r="C1117" t="s">
        <v>22</v>
      </c>
      <c r="D1117" t="s">
        <v>41</v>
      </c>
      <c r="E1117" t="s">
        <v>24</v>
      </c>
      <c r="F1117" t="s">
        <v>18</v>
      </c>
      <c r="G1117" t="s">
        <v>33</v>
      </c>
      <c r="H1117">
        <v>1</v>
      </c>
      <c r="I1117">
        <v>89.01</v>
      </c>
      <c r="J1117" s="13">
        <v>0.15</v>
      </c>
      <c r="K1117">
        <v>75.66</v>
      </c>
      <c r="L1117">
        <v>66.239999999999995</v>
      </c>
      <c r="M1117">
        <v>9.42</v>
      </c>
      <c r="N1117" t="s">
        <v>60</v>
      </c>
    </row>
    <row r="1118" spans="1:14" x14ac:dyDescent="0.3">
      <c r="A1118" t="s">
        <v>1172</v>
      </c>
      <c r="B1118" s="1">
        <v>45737</v>
      </c>
      <c r="C1118" t="s">
        <v>59</v>
      </c>
      <c r="D1118" t="s">
        <v>16</v>
      </c>
      <c r="E1118" t="s">
        <v>17</v>
      </c>
      <c r="F1118" t="s">
        <v>45</v>
      </c>
      <c r="G1118" t="s">
        <v>79</v>
      </c>
      <c r="H1118">
        <v>2</v>
      </c>
      <c r="I1118">
        <v>34.19</v>
      </c>
      <c r="J1118" s="13">
        <v>0.1</v>
      </c>
      <c r="K1118">
        <v>61.54</v>
      </c>
      <c r="L1118">
        <v>45.52</v>
      </c>
      <c r="M1118">
        <v>16.02</v>
      </c>
      <c r="N1118" t="s">
        <v>53</v>
      </c>
    </row>
    <row r="1119" spans="1:14" x14ac:dyDescent="0.3">
      <c r="A1119" t="s">
        <v>1173</v>
      </c>
      <c r="B1119" s="1">
        <v>45993</v>
      </c>
      <c r="C1119" t="s">
        <v>40</v>
      </c>
      <c r="D1119" t="s">
        <v>16</v>
      </c>
      <c r="E1119" t="s">
        <v>17</v>
      </c>
      <c r="F1119" t="s">
        <v>45</v>
      </c>
      <c r="G1119" t="s">
        <v>46</v>
      </c>
      <c r="H1119">
        <v>1</v>
      </c>
      <c r="I1119">
        <v>99.21</v>
      </c>
      <c r="J1119" s="13">
        <v>0.1</v>
      </c>
      <c r="K1119">
        <v>89.29</v>
      </c>
      <c r="L1119">
        <v>71.11</v>
      </c>
      <c r="M1119">
        <v>18.18</v>
      </c>
      <c r="N1119" t="s">
        <v>70</v>
      </c>
    </row>
    <row r="1120" spans="1:14" x14ac:dyDescent="0.3">
      <c r="A1120" t="s">
        <v>1174</v>
      </c>
      <c r="B1120" s="1">
        <v>45779</v>
      </c>
      <c r="C1120" t="s">
        <v>40</v>
      </c>
      <c r="D1120" t="s">
        <v>23</v>
      </c>
      <c r="E1120" t="s">
        <v>17</v>
      </c>
      <c r="F1120" t="s">
        <v>32</v>
      </c>
      <c r="G1120" t="s">
        <v>79</v>
      </c>
      <c r="H1120">
        <v>5</v>
      </c>
      <c r="I1120">
        <v>119.48</v>
      </c>
      <c r="J1120" s="13">
        <v>0.05</v>
      </c>
      <c r="K1120">
        <v>567.54</v>
      </c>
      <c r="L1120">
        <v>387.3</v>
      </c>
      <c r="M1120">
        <v>180.24</v>
      </c>
      <c r="N1120" t="s">
        <v>72</v>
      </c>
    </row>
    <row r="1121" spans="1:14" x14ac:dyDescent="0.3">
      <c r="A1121" t="s">
        <v>1175</v>
      </c>
      <c r="B1121" s="1">
        <v>45797</v>
      </c>
      <c r="C1121" t="s">
        <v>30</v>
      </c>
      <c r="D1121" t="s">
        <v>16</v>
      </c>
      <c r="E1121" t="s">
        <v>44</v>
      </c>
      <c r="F1121" t="s">
        <v>32</v>
      </c>
      <c r="G1121" t="s">
        <v>79</v>
      </c>
      <c r="H1121">
        <v>1</v>
      </c>
      <c r="I1121">
        <v>60.41</v>
      </c>
      <c r="J1121" s="13">
        <v>0.05</v>
      </c>
      <c r="K1121">
        <v>57.39</v>
      </c>
      <c r="L1121">
        <v>46.22</v>
      </c>
      <c r="M1121">
        <v>11.17</v>
      </c>
      <c r="N1121" t="s">
        <v>72</v>
      </c>
    </row>
    <row r="1122" spans="1:14" x14ac:dyDescent="0.3">
      <c r="A1122" t="s">
        <v>1176</v>
      </c>
      <c r="B1122" s="1">
        <v>45770</v>
      </c>
      <c r="C1122" t="s">
        <v>67</v>
      </c>
      <c r="D1122" t="s">
        <v>16</v>
      </c>
      <c r="E1122" t="s">
        <v>24</v>
      </c>
      <c r="F1122" t="s">
        <v>18</v>
      </c>
      <c r="G1122" t="s">
        <v>19</v>
      </c>
      <c r="H1122">
        <v>4</v>
      </c>
      <c r="I1122">
        <v>172.7</v>
      </c>
      <c r="J1122" s="13">
        <v>0.03</v>
      </c>
      <c r="K1122">
        <v>670.07</v>
      </c>
      <c r="L1122">
        <v>466.54</v>
      </c>
      <c r="M1122">
        <v>203.53</v>
      </c>
      <c r="N1122" t="s">
        <v>63</v>
      </c>
    </row>
    <row r="1123" spans="1:14" x14ac:dyDescent="0.3">
      <c r="A1123" t="s">
        <v>1177</v>
      </c>
      <c r="B1123" s="1">
        <v>46013</v>
      </c>
      <c r="C1123" t="s">
        <v>67</v>
      </c>
      <c r="D1123" t="s">
        <v>31</v>
      </c>
      <c r="E1123" t="s">
        <v>44</v>
      </c>
      <c r="F1123" t="s">
        <v>18</v>
      </c>
      <c r="G1123" t="s">
        <v>33</v>
      </c>
      <c r="H1123">
        <v>3</v>
      </c>
      <c r="I1123">
        <v>188.66</v>
      </c>
      <c r="J1123" s="13">
        <v>0.15</v>
      </c>
      <c r="K1123">
        <v>481.09</v>
      </c>
      <c r="L1123">
        <v>373.45</v>
      </c>
      <c r="M1123">
        <v>107.64</v>
      </c>
      <c r="N1123" t="s">
        <v>70</v>
      </c>
    </row>
    <row r="1124" spans="1:14" x14ac:dyDescent="0.3">
      <c r="A1124" t="s">
        <v>1178</v>
      </c>
      <c r="B1124" s="1">
        <v>45945</v>
      </c>
      <c r="C1124" t="s">
        <v>43</v>
      </c>
      <c r="D1124" t="s">
        <v>31</v>
      </c>
      <c r="E1124" t="s">
        <v>24</v>
      </c>
      <c r="F1124" t="s">
        <v>18</v>
      </c>
      <c r="G1124" t="s">
        <v>56</v>
      </c>
      <c r="H1124">
        <v>4</v>
      </c>
      <c r="I1124">
        <v>625.25</v>
      </c>
      <c r="J1124" s="13">
        <v>0</v>
      </c>
      <c r="K1124">
        <v>2501.0100000000002</v>
      </c>
      <c r="L1124">
        <v>1556.21</v>
      </c>
      <c r="M1124">
        <v>944.8</v>
      </c>
      <c r="N1124" t="s">
        <v>51</v>
      </c>
    </row>
    <row r="1125" spans="1:14" x14ac:dyDescent="0.3">
      <c r="A1125" t="s">
        <v>1179</v>
      </c>
      <c r="B1125" s="1">
        <v>45906</v>
      </c>
      <c r="C1125" t="s">
        <v>36</v>
      </c>
      <c r="D1125" t="s">
        <v>31</v>
      </c>
      <c r="E1125" t="s">
        <v>24</v>
      </c>
      <c r="F1125" t="s">
        <v>32</v>
      </c>
      <c r="G1125" t="s">
        <v>25</v>
      </c>
      <c r="H1125">
        <v>3</v>
      </c>
      <c r="I1125">
        <v>131.61000000000001</v>
      </c>
      <c r="J1125" s="13">
        <v>0.05</v>
      </c>
      <c r="K1125">
        <v>375.08</v>
      </c>
      <c r="L1125">
        <v>297.61</v>
      </c>
      <c r="M1125">
        <v>77.47</v>
      </c>
      <c r="N1125" t="s">
        <v>38</v>
      </c>
    </row>
    <row r="1126" spans="1:14" x14ac:dyDescent="0.3">
      <c r="A1126" t="s">
        <v>1180</v>
      </c>
      <c r="B1126" s="1">
        <v>45792</v>
      </c>
      <c r="C1126" t="s">
        <v>67</v>
      </c>
      <c r="D1126" t="s">
        <v>41</v>
      </c>
      <c r="E1126" t="s">
        <v>17</v>
      </c>
      <c r="F1126" t="s">
        <v>18</v>
      </c>
      <c r="G1126" t="s">
        <v>50</v>
      </c>
      <c r="H1126">
        <v>2</v>
      </c>
      <c r="I1126">
        <v>207.92</v>
      </c>
      <c r="J1126" s="13">
        <v>0.03</v>
      </c>
      <c r="K1126">
        <v>403.36</v>
      </c>
      <c r="L1126">
        <v>276.88</v>
      </c>
      <c r="M1126">
        <v>126.48</v>
      </c>
      <c r="N1126" t="s">
        <v>72</v>
      </c>
    </row>
    <row r="1127" spans="1:14" x14ac:dyDescent="0.3">
      <c r="A1127" t="s">
        <v>1181</v>
      </c>
      <c r="B1127" s="1">
        <v>45872</v>
      </c>
      <c r="C1127" t="s">
        <v>69</v>
      </c>
      <c r="D1127" t="s">
        <v>16</v>
      </c>
      <c r="E1127" t="s">
        <v>17</v>
      </c>
      <c r="F1127" t="s">
        <v>18</v>
      </c>
      <c r="G1127" t="s">
        <v>33</v>
      </c>
      <c r="H1127">
        <v>2</v>
      </c>
      <c r="I1127">
        <v>298.38</v>
      </c>
      <c r="J1127" s="13">
        <v>0.1</v>
      </c>
      <c r="K1127">
        <v>537.09</v>
      </c>
      <c r="L1127">
        <v>460.36</v>
      </c>
      <c r="M1127">
        <v>76.73</v>
      </c>
      <c r="N1127" t="s">
        <v>20</v>
      </c>
    </row>
    <row r="1128" spans="1:14" x14ac:dyDescent="0.3">
      <c r="A1128" t="s">
        <v>1182</v>
      </c>
      <c r="B1128" s="1">
        <v>45814</v>
      </c>
      <c r="C1128" t="s">
        <v>59</v>
      </c>
      <c r="D1128" t="s">
        <v>23</v>
      </c>
      <c r="E1128" t="s">
        <v>44</v>
      </c>
      <c r="F1128" t="s">
        <v>45</v>
      </c>
      <c r="G1128" t="s">
        <v>50</v>
      </c>
      <c r="H1128">
        <v>4</v>
      </c>
      <c r="I1128">
        <v>32.950000000000003</v>
      </c>
      <c r="J1128" s="13">
        <v>0.1</v>
      </c>
      <c r="K1128">
        <v>118.62</v>
      </c>
      <c r="L1128">
        <v>88.98</v>
      </c>
      <c r="M1128">
        <v>29.64</v>
      </c>
      <c r="N1128" t="s">
        <v>76</v>
      </c>
    </row>
    <row r="1129" spans="1:14" x14ac:dyDescent="0.3">
      <c r="A1129" t="s">
        <v>1183</v>
      </c>
      <c r="B1129" s="1">
        <v>45763</v>
      </c>
      <c r="C1129" t="s">
        <v>67</v>
      </c>
      <c r="D1129" t="s">
        <v>41</v>
      </c>
      <c r="E1129" t="s">
        <v>24</v>
      </c>
      <c r="F1129" t="s">
        <v>18</v>
      </c>
      <c r="G1129" t="s">
        <v>50</v>
      </c>
      <c r="H1129">
        <v>2</v>
      </c>
      <c r="I1129">
        <v>196.13</v>
      </c>
      <c r="J1129" s="13">
        <v>0.1</v>
      </c>
      <c r="K1129">
        <v>353.03</v>
      </c>
      <c r="L1129">
        <v>240.26</v>
      </c>
      <c r="M1129">
        <v>112.77</v>
      </c>
      <c r="N1129" t="s">
        <v>63</v>
      </c>
    </row>
    <row r="1130" spans="1:14" x14ac:dyDescent="0.3">
      <c r="A1130" t="s">
        <v>1184</v>
      </c>
      <c r="B1130" s="1">
        <v>45831</v>
      </c>
      <c r="C1130" t="s">
        <v>67</v>
      </c>
      <c r="D1130" t="s">
        <v>23</v>
      </c>
      <c r="E1130" t="s">
        <v>44</v>
      </c>
      <c r="F1130" t="s">
        <v>45</v>
      </c>
      <c r="G1130" t="s">
        <v>33</v>
      </c>
      <c r="H1130">
        <v>1</v>
      </c>
      <c r="I1130">
        <v>184.62</v>
      </c>
      <c r="J1130" s="13">
        <v>0.15</v>
      </c>
      <c r="K1130">
        <v>156.93</v>
      </c>
      <c r="L1130">
        <v>136.15</v>
      </c>
      <c r="M1130">
        <v>20.78</v>
      </c>
      <c r="N1130" t="s">
        <v>76</v>
      </c>
    </row>
    <row r="1131" spans="1:14" x14ac:dyDescent="0.3">
      <c r="A1131" t="s">
        <v>1185</v>
      </c>
      <c r="B1131" s="1">
        <v>45728</v>
      </c>
      <c r="C1131" t="s">
        <v>15</v>
      </c>
      <c r="D1131" t="s">
        <v>31</v>
      </c>
      <c r="E1131" t="s">
        <v>44</v>
      </c>
      <c r="F1131" t="s">
        <v>18</v>
      </c>
      <c r="G1131" t="s">
        <v>46</v>
      </c>
      <c r="H1131">
        <v>2</v>
      </c>
      <c r="I1131">
        <v>80.22</v>
      </c>
      <c r="J1131" s="13">
        <v>0.05</v>
      </c>
      <c r="K1131">
        <v>152.41999999999999</v>
      </c>
      <c r="L1131">
        <v>109.22</v>
      </c>
      <c r="M1131">
        <v>43.2</v>
      </c>
      <c r="N1131" t="s">
        <v>53</v>
      </c>
    </row>
    <row r="1132" spans="1:14" x14ac:dyDescent="0.3">
      <c r="A1132" t="s">
        <v>1186</v>
      </c>
      <c r="B1132" s="1">
        <v>45776</v>
      </c>
      <c r="C1132" t="s">
        <v>48</v>
      </c>
      <c r="D1132" t="s">
        <v>41</v>
      </c>
      <c r="E1132" t="s">
        <v>24</v>
      </c>
      <c r="F1132" t="s">
        <v>18</v>
      </c>
      <c r="G1132" t="s">
        <v>19</v>
      </c>
      <c r="H1132">
        <v>5</v>
      </c>
      <c r="I1132">
        <v>370.57</v>
      </c>
      <c r="J1132" s="13">
        <v>0.05</v>
      </c>
      <c r="K1132">
        <v>1760.22</v>
      </c>
      <c r="L1132">
        <v>1199.1600000000001</v>
      </c>
      <c r="M1132">
        <v>561.05999999999995</v>
      </c>
      <c r="N1132" t="s">
        <v>63</v>
      </c>
    </row>
    <row r="1133" spans="1:14" x14ac:dyDescent="0.3">
      <c r="A1133" t="s">
        <v>1187</v>
      </c>
      <c r="B1133" s="1">
        <v>45665</v>
      </c>
      <c r="C1133" t="s">
        <v>43</v>
      </c>
      <c r="D1133" t="s">
        <v>16</v>
      </c>
      <c r="E1133" t="s">
        <v>44</v>
      </c>
      <c r="F1133" t="s">
        <v>18</v>
      </c>
      <c r="G1133" t="s">
        <v>33</v>
      </c>
      <c r="H1133">
        <v>4</v>
      </c>
      <c r="I1133">
        <v>657.95</v>
      </c>
      <c r="J1133" s="13">
        <v>0</v>
      </c>
      <c r="K1133">
        <v>2631.78</v>
      </c>
      <c r="L1133">
        <v>1751.62</v>
      </c>
      <c r="M1133">
        <v>880.16</v>
      </c>
      <c r="N1133" t="s">
        <v>34</v>
      </c>
    </row>
    <row r="1134" spans="1:14" x14ac:dyDescent="0.3">
      <c r="A1134" t="s">
        <v>1188</v>
      </c>
      <c r="B1134" s="1">
        <v>45872</v>
      </c>
      <c r="C1134" t="s">
        <v>30</v>
      </c>
      <c r="D1134" t="s">
        <v>31</v>
      </c>
      <c r="E1134" t="s">
        <v>24</v>
      </c>
      <c r="F1134" t="s">
        <v>45</v>
      </c>
      <c r="G1134" t="s">
        <v>19</v>
      </c>
      <c r="H1134">
        <v>3</v>
      </c>
      <c r="I1134">
        <v>57.33</v>
      </c>
      <c r="J1134" s="13">
        <v>0</v>
      </c>
      <c r="K1134">
        <v>172</v>
      </c>
      <c r="L1134">
        <v>108.76</v>
      </c>
      <c r="M1134">
        <v>63.24</v>
      </c>
      <c r="N1134" t="s">
        <v>20</v>
      </c>
    </row>
    <row r="1135" spans="1:14" x14ac:dyDescent="0.3">
      <c r="A1135" t="s">
        <v>1189</v>
      </c>
      <c r="B1135" s="1">
        <v>45953</v>
      </c>
      <c r="C1135" t="s">
        <v>36</v>
      </c>
      <c r="D1135" t="s">
        <v>16</v>
      </c>
      <c r="E1135" t="s">
        <v>17</v>
      </c>
      <c r="F1135" t="s">
        <v>32</v>
      </c>
      <c r="G1135" t="s">
        <v>33</v>
      </c>
      <c r="H1135">
        <v>3</v>
      </c>
      <c r="I1135">
        <v>142.76</v>
      </c>
      <c r="J1135" s="13">
        <v>0.03</v>
      </c>
      <c r="K1135">
        <v>415.44</v>
      </c>
      <c r="L1135">
        <v>328.6</v>
      </c>
      <c r="M1135">
        <v>86.84</v>
      </c>
      <c r="N1135" t="s">
        <v>51</v>
      </c>
    </row>
    <row r="1136" spans="1:14" x14ac:dyDescent="0.3">
      <c r="A1136" t="s">
        <v>1190</v>
      </c>
      <c r="B1136" s="1">
        <v>45941</v>
      </c>
      <c r="C1136" t="s">
        <v>69</v>
      </c>
      <c r="D1136" t="s">
        <v>41</v>
      </c>
      <c r="E1136" t="s">
        <v>17</v>
      </c>
      <c r="F1136" t="s">
        <v>18</v>
      </c>
      <c r="G1136" t="s">
        <v>37</v>
      </c>
      <c r="H1136">
        <v>1</v>
      </c>
      <c r="I1136">
        <v>282.94</v>
      </c>
      <c r="J1136" s="13">
        <v>0</v>
      </c>
      <c r="K1136">
        <v>282.94</v>
      </c>
      <c r="L1136">
        <v>220.16</v>
      </c>
      <c r="M1136">
        <v>62.78</v>
      </c>
      <c r="N1136" t="s">
        <v>51</v>
      </c>
    </row>
    <row r="1137" spans="1:14" x14ac:dyDescent="0.3">
      <c r="A1137" t="s">
        <v>1191</v>
      </c>
      <c r="B1137" s="1">
        <v>45964</v>
      </c>
      <c r="C1137" t="s">
        <v>36</v>
      </c>
      <c r="D1137" t="s">
        <v>23</v>
      </c>
      <c r="E1137" t="s">
        <v>17</v>
      </c>
      <c r="F1137" t="s">
        <v>32</v>
      </c>
      <c r="G1137" t="s">
        <v>25</v>
      </c>
      <c r="H1137">
        <v>5</v>
      </c>
      <c r="I1137">
        <v>136.88999999999999</v>
      </c>
      <c r="J1137" s="13">
        <v>0.05</v>
      </c>
      <c r="K1137">
        <v>650.21</v>
      </c>
      <c r="L1137">
        <v>453.69</v>
      </c>
      <c r="M1137">
        <v>196.52</v>
      </c>
      <c r="N1137" t="s">
        <v>60</v>
      </c>
    </row>
    <row r="1138" spans="1:14" x14ac:dyDescent="0.3">
      <c r="A1138" t="s">
        <v>1192</v>
      </c>
      <c r="B1138" s="1">
        <v>45936</v>
      </c>
      <c r="C1138" t="s">
        <v>43</v>
      </c>
      <c r="D1138" t="s">
        <v>31</v>
      </c>
      <c r="E1138" t="s">
        <v>24</v>
      </c>
      <c r="F1138" t="s">
        <v>45</v>
      </c>
      <c r="G1138" t="s">
        <v>25</v>
      </c>
      <c r="H1138">
        <v>3</v>
      </c>
      <c r="I1138">
        <v>670.87</v>
      </c>
      <c r="J1138" s="13">
        <v>0.05</v>
      </c>
      <c r="K1138">
        <v>1911.99</v>
      </c>
      <c r="L1138">
        <v>1316.29</v>
      </c>
      <c r="M1138">
        <v>595.70000000000005</v>
      </c>
      <c r="N1138" t="s">
        <v>51</v>
      </c>
    </row>
    <row r="1139" spans="1:14" x14ac:dyDescent="0.3">
      <c r="A1139" t="s">
        <v>1193</v>
      </c>
      <c r="B1139" s="1">
        <v>45961</v>
      </c>
      <c r="C1139" t="s">
        <v>104</v>
      </c>
      <c r="D1139" t="s">
        <v>23</v>
      </c>
      <c r="E1139" t="s">
        <v>17</v>
      </c>
      <c r="F1139" t="s">
        <v>18</v>
      </c>
      <c r="G1139" t="s">
        <v>50</v>
      </c>
      <c r="H1139">
        <v>1</v>
      </c>
      <c r="I1139">
        <v>103.33</v>
      </c>
      <c r="J1139" s="13">
        <v>0</v>
      </c>
      <c r="K1139">
        <v>103.33</v>
      </c>
      <c r="L1139">
        <v>60.54</v>
      </c>
      <c r="M1139">
        <v>42.79</v>
      </c>
      <c r="N1139" t="s">
        <v>51</v>
      </c>
    </row>
    <row r="1140" spans="1:14" x14ac:dyDescent="0.3">
      <c r="A1140" t="s">
        <v>1194</v>
      </c>
      <c r="B1140" s="1">
        <v>45698</v>
      </c>
      <c r="C1140" t="s">
        <v>40</v>
      </c>
      <c r="D1140" t="s">
        <v>23</v>
      </c>
      <c r="E1140" t="s">
        <v>44</v>
      </c>
      <c r="F1140" t="s">
        <v>45</v>
      </c>
      <c r="G1140" t="s">
        <v>50</v>
      </c>
      <c r="H1140">
        <v>1</v>
      </c>
      <c r="I1140">
        <v>110.7</v>
      </c>
      <c r="J1140" s="13">
        <v>0.03</v>
      </c>
      <c r="K1140">
        <v>107.38</v>
      </c>
      <c r="L1140">
        <v>86.34</v>
      </c>
      <c r="M1140">
        <v>21.04</v>
      </c>
      <c r="N1140" t="s">
        <v>102</v>
      </c>
    </row>
    <row r="1141" spans="1:14" x14ac:dyDescent="0.3">
      <c r="A1141" t="s">
        <v>1195</v>
      </c>
      <c r="B1141" s="1">
        <v>45702</v>
      </c>
      <c r="C1141" t="s">
        <v>43</v>
      </c>
      <c r="D1141" t="s">
        <v>23</v>
      </c>
      <c r="E1141" t="s">
        <v>44</v>
      </c>
      <c r="F1141" t="s">
        <v>45</v>
      </c>
      <c r="G1141" t="s">
        <v>50</v>
      </c>
      <c r="H1141">
        <v>7</v>
      </c>
      <c r="I1141">
        <v>669.37</v>
      </c>
      <c r="J1141" s="13">
        <v>0.03</v>
      </c>
      <c r="K1141">
        <v>4545.0200000000004</v>
      </c>
      <c r="L1141">
        <v>3455.09</v>
      </c>
      <c r="M1141">
        <v>1089.93</v>
      </c>
      <c r="N1141" t="s">
        <v>102</v>
      </c>
    </row>
    <row r="1142" spans="1:14" x14ac:dyDescent="0.3">
      <c r="A1142" t="s">
        <v>1196</v>
      </c>
      <c r="B1142" s="1">
        <v>45969</v>
      </c>
      <c r="C1142" t="s">
        <v>30</v>
      </c>
      <c r="D1142" t="s">
        <v>31</v>
      </c>
      <c r="E1142" t="s">
        <v>24</v>
      </c>
      <c r="F1142" t="s">
        <v>32</v>
      </c>
      <c r="G1142" t="s">
        <v>37</v>
      </c>
      <c r="H1142">
        <v>5</v>
      </c>
      <c r="I1142">
        <v>50.38</v>
      </c>
      <c r="J1142" s="13">
        <v>0</v>
      </c>
      <c r="K1142">
        <v>251.89</v>
      </c>
      <c r="L1142">
        <v>150.69999999999999</v>
      </c>
      <c r="M1142">
        <v>101.19</v>
      </c>
      <c r="N1142" t="s">
        <v>60</v>
      </c>
    </row>
    <row r="1143" spans="1:14" x14ac:dyDescent="0.3">
      <c r="A1143" t="s">
        <v>1197</v>
      </c>
      <c r="B1143" s="1">
        <v>45749</v>
      </c>
      <c r="C1143" t="s">
        <v>15</v>
      </c>
      <c r="D1143" t="s">
        <v>23</v>
      </c>
      <c r="E1143" t="s">
        <v>24</v>
      </c>
      <c r="F1143" t="s">
        <v>45</v>
      </c>
      <c r="G1143" t="s">
        <v>56</v>
      </c>
      <c r="H1143">
        <v>4</v>
      </c>
      <c r="I1143">
        <v>75.19</v>
      </c>
      <c r="J1143" s="13">
        <v>0.03</v>
      </c>
      <c r="K1143">
        <v>291.72000000000003</v>
      </c>
      <c r="L1143">
        <v>189.55</v>
      </c>
      <c r="M1143">
        <v>102.17</v>
      </c>
      <c r="N1143" t="s">
        <v>63</v>
      </c>
    </row>
    <row r="1144" spans="1:14" x14ac:dyDescent="0.3">
      <c r="A1144" t="s">
        <v>1198</v>
      </c>
      <c r="B1144" s="1">
        <v>45987</v>
      </c>
      <c r="C1144" t="s">
        <v>67</v>
      </c>
      <c r="D1144" t="s">
        <v>41</v>
      </c>
      <c r="E1144" t="s">
        <v>24</v>
      </c>
      <c r="F1144" t="s">
        <v>18</v>
      </c>
      <c r="G1144" t="s">
        <v>56</v>
      </c>
      <c r="H1144">
        <v>7</v>
      </c>
      <c r="I1144">
        <v>201.09</v>
      </c>
      <c r="J1144" s="13">
        <v>0.1</v>
      </c>
      <c r="K1144">
        <v>1266.8399999999999</v>
      </c>
      <c r="L1144">
        <v>1033.1600000000001</v>
      </c>
      <c r="M1144">
        <v>233.68</v>
      </c>
      <c r="N1144" t="s">
        <v>60</v>
      </c>
    </row>
    <row r="1145" spans="1:14" x14ac:dyDescent="0.3">
      <c r="A1145" t="s">
        <v>1199</v>
      </c>
      <c r="B1145" s="1">
        <v>45716</v>
      </c>
      <c r="C1145" t="s">
        <v>22</v>
      </c>
      <c r="D1145" t="s">
        <v>41</v>
      </c>
      <c r="E1145" t="s">
        <v>44</v>
      </c>
      <c r="F1145" t="s">
        <v>45</v>
      </c>
      <c r="G1145" t="s">
        <v>46</v>
      </c>
      <c r="H1145">
        <v>4</v>
      </c>
      <c r="I1145">
        <v>78.36</v>
      </c>
      <c r="J1145" s="13">
        <v>0</v>
      </c>
      <c r="K1145">
        <v>313.45</v>
      </c>
      <c r="L1145">
        <v>185.98</v>
      </c>
      <c r="M1145">
        <v>127.47</v>
      </c>
      <c r="N1145" t="s">
        <v>102</v>
      </c>
    </row>
    <row r="1146" spans="1:14" x14ac:dyDescent="0.3">
      <c r="A1146" t="s">
        <v>1200</v>
      </c>
      <c r="B1146" s="1">
        <v>45937</v>
      </c>
      <c r="C1146" t="s">
        <v>30</v>
      </c>
      <c r="D1146" t="s">
        <v>23</v>
      </c>
      <c r="E1146" t="s">
        <v>17</v>
      </c>
      <c r="F1146" t="s">
        <v>18</v>
      </c>
      <c r="G1146" t="s">
        <v>50</v>
      </c>
      <c r="H1146">
        <v>5</v>
      </c>
      <c r="I1146">
        <v>54.84</v>
      </c>
      <c r="J1146" s="13">
        <v>0.15</v>
      </c>
      <c r="K1146">
        <v>233.06</v>
      </c>
      <c r="L1146">
        <v>193.81</v>
      </c>
      <c r="M1146">
        <v>39.25</v>
      </c>
      <c r="N1146" t="s">
        <v>51</v>
      </c>
    </row>
    <row r="1147" spans="1:14" x14ac:dyDescent="0.3">
      <c r="A1147" t="s">
        <v>1201</v>
      </c>
      <c r="B1147" s="1">
        <v>45831</v>
      </c>
      <c r="C1147" t="s">
        <v>48</v>
      </c>
      <c r="D1147" t="s">
        <v>16</v>
      </c>
      <c r="E1147" t="s">
        <v>17</v>
      </c>
      <c r="F1147" t="s">
        <v>18</v>
      </c>
      <c r="G1147" t="s">
        <v>37</v>
      </c>
      <c r="H1147">
        <v>2</v>
      </c>
      <c r="I1147">
        <v>343.96</v>
      </c>
      <c r="J1147" s="13">
        <v>0.03</v>
      </c>
      <c r="K1147">
        <v>667.28</v>
      </c>
      <c r="L1147">
        <v>403.59</v>
      </c>
      <c r="M1147">
        <v>263.69</v>
      </c>
      <c r="N1147" t="s">
        <v>76</v>
      </c>
    </row>
    <row r="1148" spans="1:14" x14ac:dyDescent="0.3">
      <c r="A1148" t="s">
        <v>1202</v>
      </c>
      <c r="B1148" s="1">
        <v>45970</v>
      </c>
      <c r="C1148" t="s">
        <v>104</v>
      </c>
      <c r="D1148" t="s">
        <v>31</v>
      </c>
      <c r="E1148" t="s">
        <v>24</v>
      </c>
      <c r="F1148" t="s">
        <v>45</v>
      </c>
      <c r="G1148" t="s">
        <v>19</v>
      </c>
      <c r="H1148">
        <v>5</v>
      </c>
      <c r="I1148">
        <v>102.72</v>
      </c>
      <c r="J1148" s="13">
        <v>0</v>
      </c>
      <c r="K1148">
        <v>513.58000000000004</v>
      </c>
      <c r="L1148">
        <v>370.62</v>
      </c>
      <c r="M1148">
        <v>142.96</v>
      </c>
      <c r="N1148" t="s">
        <v>60</v>
      </c>
    </row>
    <row r="1149" spans="1:14" x14ac:dyDescent="0.3">
      <c r="A1149" t="s">
        <v>1203</v>
      </c>
      <c r="B1149" s="1">
        <v>45986</v>
      </c>
      <c r="C1149" t="s">
        <v>59</v>
      </c>
      <c r="D1149" t="s">
        <v>41</v>
      </c>
      <c r="E1149" t="s">
        <v>17</v>
      </c>
      <c r="F1149" t="s">
        <v>45</v>
      </c>
      <c r="G1149" t="s">
        <v>19</v>
      </c>
      <c r="H1149">
        <v>3</v>
      </c>
      <c r="I1149">
        <v>29.93</v>
      </c>
      <c r="J1149" s="13">
        <v>0.05</v>
      </c>
      <c r="K1149">
        <v>85.29</v>
      </c>
      <c r="L1149">
        <v>67.62</v>
      </c>
      <c r="M1149">
        <v>17.670000000000002</v>
      </c>
      <c r="N1149" t="s">
        <v>60</v>
      </c>
    </row>
    <row r="1150" spans="1:14" x14ac:dyDescent="0.3">
      <c r="A1150" t="s">
        <v>1204</v>
      </c>
      <c r="B1150" s="1">
        <v>45944</v>
      </c>
      <c r="C1150" t="s">
        <v>67</v>
      </c>
      <c r="D1150" t="s">
        <v>16</v>
      </c>
      <c r="E1150" t="s">
        <v>24</v>
      </c>
      <c r="F1150" t="s">
        <v>45</v>
      </c>
      <c r="G1150" t="s">
        <v>56</v>
      </c>
      <c r="H1150">
        <v>3</v>
      </c>
      <c r="I1150">
        <v>197.73</v>
      </c>
      <c r="J1150" s="13">
        <v>0.05</v>
      </c>
      <c r="K1150">
        <v>563.54</v>
      </c>
      <c r="L1150">
        <v>347.87</v>
      </c>
      <c r="M1150">
        <v>215.67</v>
      </c>
      <c r="N1150" t="s">
        <v>51</v>
      </c>
    </row>
    <row r="1151" spans="1:14" x14ac:dyDescent="0.3">
      <c r="A1151" t="s">
        <v>1205</v>
      </c>
      <c r="B1151" s="1">
        <v>45985</v>
      </c>
      <c r="C1151" t="s">
        <v>28</v>
      </c>
      <c r="D1151" t="s">
        <v>16</v>
      </c>
      <c r="E1151" t="s">
        <v>17</v>
      </c>
      <c r="F1151" t="s">
        <v>18</v>
      </c>
      <c r="G1151" t="s">
        <v>50</v>
      </c>
      <c r="H1151">
        <v>1</v>
      </c>
      <c r="I1151">
        <v>904.44</v>
      </c>
      <c r="J1151" s="13">
        <v>0</v>
      </c>
      <c r="K1151">
        <v>904.44</v>
      </c>
      <c r="L1151">
        <v>689.06</v>
      </c>
      <c r="M1151">
        <v>215.38</v>
      </c>
      <c r="N1151" t="s">
        <v>60</v>
      </c>
    </row>
    <row r="1152" spans="1:14" x14ac:dyDescent="0.3">
      <c r="A1152" t="s">
        <v>1206</v>
      </c>
      <c r="B1152" s="1">
        <v>45977</v>
      </c>
      <c r="C1152" t="s">
        <v>59</v>
      </c>
      <c r="D1152" t="s">
        <v>41</v>
      </c>
      <c r="E1152" t="s">
        <v>44</v>
      </c>
      <c r="F1152" t="s">
        <v>45</v>
      </c>
      <c r="G1152" t="s">
        <v>33</v>
      </c>
      <c r="H1152">
        <v>1</v>
      </c>
      <c r="I1152">
        <v>32.51</v>
      </c>
      <c r="J1152" s="13">
        <v>0.03</v>
      </c>
      <c r="K1152">
        <v>31.53</v>
      </c>
      <c r="L1152">
        <v>22.14</v>
      </c>
      <c r="M1152">
        <v>9.39</v>
      </c>
      <c r="N1152" t="s">
        <v>60</v>
      </c>
    </row>
    <row r="1153" spans="1:14" x14ac:dyDescent="0.3">
      <c r="A1153" t="s">
        <v>1207</v>
      </c>
      <c r="B1153" s="1">
        <v>45738</v>
      </c>
      <c r="C1153" t="s">
        <v>30</v>
      </c>
      <c r="D1153" t="s">
        <v>23</v>
      </c>
      <c r="E1153" t="s">
        <v>24</v>
      </c>
      <c r="F1153" t="s">
        <v>18</v>
      </c>
      <c r="G1153" t="s">
        <v>46</v>
      </c>
      <c r="H1153">
        <v>4</v>
      </c>
      <c r="I1153">
        <v>52.92</v>
      </c>
      <c r="J1153" s="13">
        <v>0.1</v>
      </c>
      <c r="K1153">
        <v>190.52</v>
      </c>
      <c r="L1153">
        <v>144.76</v>
      </c>
      <c r="M1153">
        <v>45.76</v>
      </c>
      <c r="N1153" t="s">
        <v>53</v>
      </c>
    </row>
    <row r="1154" spans="1:14" x14ac:dyDescent="0.3">
      <c r="A1154" t="s">
        <v>1208</v>
      </c>
      <c r="B1154" s="1">
        <v>45661</v>
      </c>
      <c r="C1154" t="s">
        <v>67</v>
      </c>
      <c r="D1154" t="s">
        <v>31</v>
      </c>
      <c r="E1154" t="s">
        <v>44</v>
      </c>
      <c r="F1154" t="s">
        <v>18</v>
      </c>
      <c r="G1154" t="s">
        <v>56</v>
      </c>
      <c r="H1154">
        <v>1</v>
      </c>
      <c r="I1154">
        <v>194.54</v>
      </c>
      <c r="J1154" s="13">
        <v>0</v>
      </c>
      <c r="K1154">
        <v>194.54</v>
      </c>
      <c r="L1154">
        <v>142.29</v>
      </c>
      <c r="M1154">
        <v>52.25</v>
      </c>
      <c r="N1154" t="s">
        <v>34</v>
      </c>
    </row>
    <row r="1155" spans="1:14" x14ac:dyDescent="0.3">
      <c r="A1155" t="s">
        <v>1209</v>
      </c>
      <c r="B1155" s="1">
        <v>45967</v>
      </c>
      <c r="C1155" t="s">
        <v>104</v>
      </c>
      <c r="D1155" t="s">
        <v>41</v>
      </c>
      <c r="E1155" t="s">
        <v>44</v>
      </c>
      <c r="F1155" t="s">
        <v>18</v>
      </c>
      <c r="G1155" t="s">
        <v>37</v>
      </c>
      <c r="H1155">
        <v>1</v>
      </c>
      <c r="I1155">
        <v>95.23</v>
      </c>
      <c r="J1155" s="13">
        <v>0.03</v>
      </c>
      <c r="K1155">
        <v>92.37</v>
      </c>
      <c r="L1155">
        <v>58.81</v>
      </c>
      <c r="M1155">
        <v>33.56</v>
      </c>
      <c r="N1155" t="s">
        <v>60</v>
      </c>
    </row>
    <row r="1156" spans="1:14" x14ac:dyDescent="0.3">
      <c r="A1156" t="s">
        <v>1210</v>
      </c>
      <c r="B1156" s="1">
        <v>45871</v>
      </c>
      <c r="C1156" t="s">
        <v>28</v>
      </c>
      <c r="D1156" t="s">
        <v>23</v>
      </c>
      <c r="E1156" t="s">
        <v>17</v>
      </c>
      <c r="F1156" t="s">
        <v>18</v>
      </c>
      <c r="G1156" t="s">
        <v>46</v>
      </c>
      <c r="H1156">
        <v>1</v>
      </c>
      <c r="I1156">
        <v>965.81</v>
      </c>
      <c r="J1156" s="13">
        <v>0</v>
      </c>
      <c r="K1156">
        <v>965.81</v>
      </c>
      <c r="L1156">
        <v>686.46</v>
      </c>
      <c r="M1156">
        <v>279.35000000000002</v>
      </c>
      <c r="N1156" t="s">
        <v>20</v>
      </c>
    </row>
    <row r="1157" spans="1:14" x14ac:dyDescent="0.3">
      <c r="A1157" t="s">
        <v>1211</v>
      </c>
      <c r="B1157" s="1">
        <v>45900</v>
      </c>
      <c r="C1157" t="s">
        <v>67</v>
      </c>
      <c r="D1157" t="s">
        <v>16</v>
      </c>
      <c r="E1157" t="s">
        <v>17</v>
      </c>
      <c r="F1157" t="s">
        <v>45</v>
      </c>
      <c r="G1157" t="s">
        <v>46</v>
      </c>
      <c r="H1157">
        <v>1</v>
      </c>
      <c r="I1157">
        <v>208.63</v>
      </c>
      <c r="J1157" s="13">
        <v>0</v>
      </c>
      <c r="K1157">
        <v>208.63</v>
      </c>
      <c r="L1157">
        <v>135.07</v>
      </c>
      <c r="M1157">
        <v>73.56</v>
      </c>
      <c r="N1157" t="s">
        <v>20</v>
      </c>
    </row>
    <row r="1158" spans="1:14" x14ac:dyDescent="0.3">
      <c r="A1158" t="s">
        <v>1212</v>
      </c>
      <c r="B1158" s="1">
        <v>45928</v>
      </c>
      <c r="C1158" t="s">
        <v>28</v>
      </c>
      <c r="D1158" t="s">
        <v>16</v>
      </c>
      <c r="E1158" t="s">
        <v>24</v>
      </c>
      <c r="F1158" t="s">
        <v>45</v>
      </c>
      <c r="G1158" t="s">
        <v>25</v>
      </c>
      <c r="H1158">
        <v>3</v>
      </c>
      <c r="I1158">
        <v>1040.9100000000001</v>
      </c>
      <c r="J1158" s="13">
        <v>0.05</v>
      </c>
      <c r="K1158">
        <v>2966.6</v>
      </c>
      <c r="L1158">
        <v>2220.77</v>
      </c>
      <c r="M1158">
        <v>745.83</v>
      </c>
      <c r="N1158" t="s">
        <v>38</v>
      </c>
    </row>
    <row r="1159" spans="1:14" x14ac:dyDescent="0.3">
      <c r="A1159" t="s">
        <v>1213</v>
      </c>
      <c r="B1159" s="1">
        <v>45945</v>
      </c>
      <c r="C1159" t="s">
        <v>40</v>
      </c>
      <c r="D1159" t="s">
        <v>23</v>
      </c>
      <c r="E1159" t="s">
        <v>17</v>
      </c>
      <c r="F1159" t="s">
        <v>32</v>
      </c>
      <c r="G1159" t="s">
        <v>33</v>
      </c>
      <c r="H1159">
        <v>1</v>
      </c>
      <c r="I1159">
        <v>100.39</v>
      </c>
      <c r="J1159" s="13">
        <v>0.05</v>
      </c>
      <c r="K1159">
        <v>95.37</v>
      </c>
      <c r="L1159">
        <v>64.5</v>
      </c>
      <c r="M1159">
        <v>30.87</v>
      </c>
      <c r="N1159" t="s">
        <v>51</v>
      </c>
    </row>
    <row r="1160" spans="1:14" x14ac:dyDescent="0.3">
      <c r="A1160" t="s">
        <v>1214</v>
      </c>
      <c r="B1160" s="1">
        <v>45773</v>
      </c>
      <c r="C1160" t="s">
        <v>15</v>
      </c>
      <c r="D1160" t="s">
        <v>16</v>
      </c>
      <c r="E1160" t="s">
        <v>17</v>
      </c>
      <c r="F1160" t="s">
        <v>32</v>
      </c>
      <c r="G1160" t="s">
        <v>50</v>
      </c>
      <c r="H1160">
        <v>4</v>
      </c>
      <c r="I1160">
        <v>76.34</v>
      </c>
      <c r="J1160" s="13">
        <v>0</v>
      </c>
      <c r="K1160">
        <v>305.35000000000002</v>
      </c>
      <c r="L1160">
        <v>187.37</v>
      </c>
      <c r="M1160">
        <v>117.98</v>
      </c>
      <c r="N1160" t="s">
        <v>63</v>
      </c>
    </row>
    <row r="1161" spans="1:14" x14ac:dyDescent="0.3">
      <c r="A1161" t="s">
        <v>1215</v>
      </c>
      <c r="B1161" s="1">
        <v>45947</v>
      </c>
      <c r="C1161" t="s">
        <v>30</v>
      </c>
      <c r="D1161" t="s">
        <v>31</v>
      </c>
      <c r="E1161" t="s">
        <v>17</v>
      </c>
      <c r="F1161" t="s">
        <v>45</v>
      </c>
      <c r="G1161" t="s">
        <v>25</v>
      </c>
      <c r="H1161">
        <v>2</v>
      </c>
      <c r="I1161">
        <v>54.81</v>
      </c>
      <c r="J1161" s="13">
        <v>0.05</v>
      </c>
      <c r="K1161">
        <v>104.13</v>
      </c>
      <c r="L1161">
        <v>78.38</v>
      </c>
      <c r="M1161">
        <v>25.75</v>
      </c>
      <c r="N1161" t="s">
        <v>51</v>
      </c>
    </row>
    <row r="1162" spans="1:14" x14ac:dyDescent="0.3">
      <c r="A1162" t="s">
        <v>1216</v>
      </c>
      <c r="B1162" s="1">
        <v>45934</v>
      </c>
      <c r="C1162" t="s">
        <v>22</v>
      </c>
      <c r="D1162" t="s">
        <v>23</v>
      </c>
      <c r="E1162" t="s">
        <v>24</v>
      </c>
      <c r="F1162" t="s">
        <v>32</v>
      </c>
      <c r="G1162" t="s">
        <v>19</v>
      </c>
      <c r="H1162">
        <v>1</v>
      </c>
      <c r="I1162">
        <v>84.87</v>
      </c>
      <c r="J1162" s="13">
        <v>0</v>
      </c>
      <c r="K1162">
        <v>84.87</v>
      </c>
      <c r="L1162">
        <v>50.96</v>
      </c>
      <c r="M1162">
        <v>33.909999999999997</v>
      </c>
      <c r="N1162" t="s">
        <v>51</v>
      </c>
    </row>
    <row r="1163" spans="1:14" x14ac:dyDescent="0.3">
      <c r="A1163" t="s">
        <v>1217</v>
      </c>
      <c r="B1163" s="1">
        <v>45713</v>
      </c>
      <c r="C1163" t="s">
        <v>48</v>
      </c>
      <c r="D1163" t="s">
        <v>41</v>
      </c>
      <c r="E1163" t="s">
        <v>17</v>
      </c>
      <c r="F1163" t="s">
        <v>18</v>
      </c>
      <c r="G1163" t="s">
        <v>37</v>
      </c>
      <c r="H1163">
        <v>1</v>
      </c>
      <c r="I1163">
        <v>354.86</v>
      </c>
      <c r="J1163" s="13">
        <v>0.1</v>
      </c>
      <c r="K1163">
        <v>319.37</v>
      </c>
      <c r="L1163">
        <v>240.81</v>
      </c>
      <c r="M1163">
        <v>78.56</v>
      </c>
      <c r="N1163" t="s">
        <v>102</v>
      </c>
    </row>
    <row r="1164" spans="1:14" x14ac:dyDescent="0.3">
      <c r="A1164" t="s">
        <v>1218</v>
      </c>
      <c r="B1164" s="1">
        <v>46001</v>
      </c>
      <c r="C1164" t="s">
        <v>30</v>
      </c>
      <c r="D1164" t="s">
        <v>23</v>
      </c>
      <c r="E1164" t="s">
        <v>17</v>
      </c>
      <c r="F1164" t="s">
        <v>18</v>
      </c>
      <c r="G1164" t="s">
        <v>46</v>
      </c>
      <c r="H1164">
        <v>2</v>
      </c>
      <c r="I1164">
        <v>56.36</v>
      </c>
      <c r="J1164" s="13">
        <v>0</v>
      </c>
      <c r="K1164">
        <v>112.73</v>
      </c>
      <c r="L1164">
        <v>65.709999999999994</v>
      </c>
      <c r="M1164">
        <v>47.02</v>
      </c>
      <c r="N1164" t="s">
        <v>70</v>
      </c>
    </row>
    <row r="1165" spans="1:14" x14ac:dyDescent="0.3">
      <c r="A1165" t="s">
        <v>1219</v>
      </c>
      <c r="B1165" s="1">
        <v>45735</v>
      </c>
      <c r="C1165" t="s">
        <v>28</v>
      </c>
      <c r="D1165" t="s">
        <v>1263</v>
      </c>
      <c r="E1165" t="s">
        <v>17</v>
      </c>
      <c r="F1165" t="s">
        <v>18</v>
      </c>
      <c r="G1165" t="s">
        <v>50</v>
      </c>
      <c r="H1165">
        <v>6</v>
      </c>
      <c r="I1165">
        <v>944.17</v>
      </c>
      <c r="J1165" s="13">
        <v>0.03</v>
      </c>
      <c r="K1165">
        <v>5495.06</v>
      </c>
      <c r="L1165">
        <v>3993.74</v>
      </c>
      <c r="M1165">
        <v>1501.32</v>
      </c>
      <c r="N1165" t="s">
        <v>53</v>
      </c>
    </row>
    <row r="1166" spans="1:14" x14ac:dyDescent="0.3">
      <c r="A1166" t="s">
        <v>1220</v>
      </c>
      <c r="B1166" s="1">
        <v>45873</v>
      </c>
      <c r="C1166" t="s">
        <v>48</v>
      </c>
      <c r="D1166" t="s">
        <v>23</v>
      </c>
      <c r="E1166" t="s">
        <v>17</v>
      </c>
      <c r="F1166" t="s">
        <v>18</v>
      </c>
      <c r="G1166" t="s">
        <v>25</v>
      </c>
      <c r="H1166">
        <v>1</v>
      </c>
      <c r="I1166">
        <v>338.66</v>
      </c>
      <c r="J1166" s="13">
        <v>0.05</v>
      </c>
      <c r="K1166">
        <v>321.72000000000003</v>
      </c>
      <c r="L1166">
        <v>229.92</v>
      </c>
      <c r="M1166">
        <v>91.8</v>
      </c>
      <c r="N1166" t="s">
        <v>20</v>
      </c>
    </row>
    <row r="1167" spans="1:14" x14ac:dyDescent="0.3">
      <c r="A1167" t="s">
        <v>1221</v>
      </c>
      <c r="B1167" s="1">
        <v>45797</v>
      </c>
      <c r="C1167" t="s">
        <v>30</v>
      </c>
      <c r="D1167" t="s">
        <v>16</v>
      </c>
      <c r="E1167" t="s">
        <v>24</v>
      </c>
      <c r="F1167" t="s">
        <v>32</v>
      </c>
      <c r="G1167" t="s">
        <v>46</v>
      </c>
      <c r="H1167">
        <v>5</v>
      </c>
      <c r="I1167">
        <v>59.42</v>
      </c>
      <c r="J1167" s="13">
        <v>0.05</v>
      </c>
      <c r="K1167">
        <v>282.22000000000003</v>
      </c>
      <c r="L1167">
        <v>208.91</v>
      </c>
      <c r="M1167">
        <v>73.31</v>
      </c>
      <c r="N1167" t="s">
        <v>72</v>
      </c>
    </row>
    <row r="1168" spans="1:14" x14ac:dyDescent="0.3">
      <c r="A1168" t="s">
        <v>1222</v>
      </c>
      <c r="B1168" s="1">
        <v>45913</v>
      </c>
      <c r="C1168" t="s">
        <v>22</v>
      </c>
      <c r="D1168" t="s">
        <v>16</v>
      </c>
      <c r="E1168" t="s">
        <v>24</v>
      </c>
      <c r="F1168" t="s">
        <v>18</v>
      </c>
      <c r="G1168" t="s">
        <v>25</v>
      </c>
      <c r="H1168">
        <v>2</v>
      </c>
      <c r="I1168">
        <v>83.38</v>
      </c>
      <c r="J1168" s="13">
        <v>0.1</v>
      </c>
      <c r="K1168">
        <v>150.08000000000001</v>
      </c>
      <c r="L1168">
        <v>112.12</v>
      </c>
      <c r="M1168">
        <v>37.96</v>
      </c>
      <c r="N1168" t="s">
        <v>38</v>
      </c>
    </row>
    <row r="1169" spans="1:14" x14ac:dyDescent="0.3">
      <c r="A1169" t="s">
        <v>1223</v>
      </c>
      <c r="B1169" s="1">
        <v>45825</v>
      </c>
      <c r="C1169" t="s">
        <v>30</v>
      </c>
      <c r="D1169" t="s">
        <v>41</v>
      </c>
      <c r="E1169" t="s">
        <v>17</v>
      </c>
      <c r="F1169" t="s">
        <v>18</v>
      </c>
      <c r="G1169" t="s">
        <v>33</v>
      </c>
      <c r="H1169">
        <v>4</v>
      </c>
      <c r="I1169">
        <v>50.21</v>
      </c>
      <c r="J1169" s="13">
        <v>0.03</v>
      </c>
      <c r="K1169">
        <v>194.83</v>
      </c>
      <c r="L1169">
        <v>141.66999999999999</v>
      </c>
      <c r="M1169">
        <v>53.16</v>
      </c>
      <c r="N1169" t="s">
        <v>76</v>
      </c>
    </row>
    <row r="1170" spans="1:14" x14ac:dyDescent="0.3">
      <c r="A1170" t="s">
        <v>1224</v>
      </c>
      <c r="B1170" s="1">
        <v>45977</v>
      </c>
      <c r="C1170" t="s">
        <v>30</v>
      </c>
      <c r="D1170" t="s">
        <v>16</v>
      </c>
      <c r="E1170" t="s">
        <v>24</v>
      </c>
      <c r="F1170" t="s">
        <v>18</v>
      </c>
      <c r="G1170" t="s">
        <v>56</v>
      </c>
      <c r="H1170">
        <v>2</v>
      </c>
      <c r="I1170">
        <v>59.3</v>
      </c>
      <c r="J1170" s="13">
        <v>0</v>
      </c>
      <c r="K1170">
        <v>118.6</v>
      </c>
      <c r="L1170">
        <v>71.08</v>
      </c>
      <c r="M1170">
        <v>47.52</v>
      </c>
      <c r="N1170" t="s">
        <v>60</v>
      </c>
    </row>
    <row r="1171" spans="1:14" x14ac:dyDescent="0.3">
      <c r="A1171" t="s">
        <v>1225</v>
      </c>
      <c r="B1171" s="1">
        <v>45838</v>
      </c>
      <c r="C1171" t="s">
        <v>59</v>
      </c>
      <c r="D1171" t="s">
        <v>31</v>
      </c>
      <c r="E1171" t="s">
        <v>17</v>
      </c>
      <c r="F1171" t="s">
        <v>18</v>
      </c>
      <c r="G1171" t="s">
        <v>79</v>
      </c>
      <c r="H1171">
        <v>6</v>
      </c>
      <c r="I1171">
        <v>28.92</v>
      </c>
      <c r="J1171" s="13">
        <v>0</v>
      </c>
      <c r="K1171">
        <v>173.51</v>
      </c>
      <c r="L1171">
        <v>132.88999999999999</v>
      </c>
      <c r="M1171">
        <v>40.619999999999997</v>
      </c>
      <c r="N1171" t="s">
        <v>76</v>
      </c>
    </row>
    <row r="1172" spans="1:14" x14ac:dyDescent="0.3">
      <c r="A1172" t="s">
        <v>1226</v>
      </c>
      <c r="B1172" s="1">
        <v>45901</v>
      </c>
      <c r="C1172" t="s">
        <v>22</v>
      </c>
      <c r="D1172" t="s">
        <v>31</v>
      </c>
      <c r="E1172" t="s">
        <v>17</v>
      </c>
      <c r="F1172" t="s">
        <v>45</v>
      </c>
      <c r="G1172" t="s">
        <v>46</v>
      </c>
      <c r="H1172">
        <v>1</v>
      </c>
      <c r="I1172">
        <v>86.66</v>
      </c>
      <c r="J1172" s="13">
        <v>0.1</v>
      </c>
      <c r="K1172">
        <v>78</v>
      </c>
      <c r="L1172">
        <v>57.67</v>
      </c>
      <c r="M1172">
        <v>20.329999999999998</v>
      </c>
      <c r="N1172" t="s">
        <v>38</v>
      </c>
    </row>
    <row r="1173" spans="1:14" x14ac:dyDescent="0.3">
      <c r="A1173" t="s">
        <v>1227</v>
      </c>
      <c r="B1173" s="1">
        <v>45979</v>
      </c>
      <c r="C1173" t="s">
        <v>28</v>
      </c>
      <c r="D1173" t="s">
        <v>41</v>
      </c>
      <c r="E1173" t="s">
        <v>44</v>
      </c>
      <c r="F1173" t="s">
        <v>45</v>
      </c>
      <c r="G1173" t="s">
        <v>25</v>
      </c>
      <c r="H1173">
        <v>7</v>
      </c>
      <c r="I1173">
        <v>974.58</v>
      </c>
      <c r="J1173" s="13">
        <v>0.03</v>
      </c>
      <c r="K1173">
        <v>6617.38</v>
      </c>
      <c r="L1173">
        <v>4118.68</v>
      </c>
      <c r="M1173">
        <v>2498.6999999999998</v>
      </c>
      <c r="N1173" t="s">
        <v>60</v>
      </c>
    </row>
    <row r="1174" spans="1:14" x14ac:dyDescent="0.3">
      <c r="A1174" t="s">
        <v>1228</v>
      </c>
      <c r="B1174" s="1">
        <v>46014</v>
      </c>
      <c r="C1174" t="s">
        <v>104</v>
      </c>
      <c r="D1174" t="s">
        <v>23</v>
      </c>
      <c r="E1174" t="s">
        <v>44</v>
      </c>
      <c r="F1174" t="s">
        <v>32</v>
      </c>
      <c r="G1174" t="s">
        <v>56</v>
      </c>
      <c r="H1174">
        <v>4</v>
      </c>
      <c r="I1174">
        <v>88.66</v>
      </c>
      <c r="J1174" s="13">
        <v>0.03</v>
      </c>
      <c r="K1174">
        <v>344</v>
      </c>
      <c r="L1174">
        <v>225.76</v>
      </c>
      <c r="M1174">
        <v>118.24</v>
      </c>
      <c r="N1174" t="s">
        <v>70</v>
      </c>
    </row>
    <row r="1175" spans="1:14" x14ac:dyDescent="0.3">
      <c r="A1175" t="s">
        <v>1229</v>
      </c>
      <c r="B1175" s="1">
        <v>45837</v>
      </c>
      <c r="C1175" t="s">
        <v>36</v>
      </c>
      <c r="D1175" t="s">
        <v>31</v>
      </c>
      <c r="E1175" t="s">
        <v>24</v>
      </c>
      <c r="F1175" t="s">
        <v>32</v>
      </c>
      <c r="G1175" t="s">
        <v>79</v>
      </c>
      <c r="H1175">
        <v>5</v>
      </c>
      <c r="I1175">
        <v>151</v>
      </c>
      <c r="J1175" s="13">
        <v>0</v>
      </c>
      <c r="K1175">
        <v>754.98</v>
      </c>
      <c r="L1175">
        <v>477.41</v>
      </c>
      <c r="M1175">
        <v>277.57</v>
      </c>
      <c r="N1175" t="s">
        <v>76</v>
      </c>
    </row>
    <row r="1176" spans="1:14" x14ac:dyDescent="0.3">
      <c r="A1176" t="s">
        <v>1230</v>
      </c>
      <c r="B1176" s="1">
        <v>45938</v>
      </c>
      <c r="C1176" t="s">
        <v>104</v>
      </c>
      <c r="D1176" t="s">
        <v>16</v>
      </c>
      <c r="E1176" t="s">
        <v>24</v>
      </c>
      <c r="F1176" t="s">
        <v>18</v>
      </c>
      <c r="G1176" t="s">
        <v>46</v>
      </c>
      <c r="H1176">
        <v>1</v>
      </c>
      <c r="I1176">
        <v>103.91</v>
      </c>
      <c r="J1176" s="13">
        <v>0.03</v>
      </c>
      <c r="K1176">
        <v>100.79</v>
      </c>
      <c r="L1176">
        <v>68.97</v>
      </c>
      <c r="M1176">
        <v>31.82</v>
      </c>
      <c r="N1176" t="s">
        <v>51</v>
      </c>
    </row>
    <row r="1177" spans="1:14" x14ac:dyDescent="0.3">
      <c r="A1177" t="s">
        <v>1231</v>
      </c>
      <c r="B1177" s="1">
        <v>45812</v>
      </c>
      <c r="C1177" t="s">
        <v>104</v>
      </c>
      <c r="D1177" t="s">
        <v>31</v>
      </c>
      <c r="E1177" t="s">
        <v>44</v>
      </c>
      <c r="F1177" t="s">
        <v>32</v>
      </c>
      <c r="G1177" t="s">
        <v>56</v>
      </c>
      <c r="H1177">
        <v>2</v>
      </c>
      <c r="I1177">
        <v>91.55</v>
      </c>
      <c r="J1177" s="13">
        <v>0.15</v>
      </c>
      <c r="K1177">
        <v>155.63</v>
      </c>
      <c r="L1177">
        <v>112.05</v>
      </c>
      <c r="M1177">
        <v>43.58</v>
      </c>
      <c r="N1177" t="s">
        <v>76</v>
      </c>
    </row>
    <row r="1178" spans="1:14" x14ac:dyDescent="0.3">
      <c r="A1178" t="s">
        <v>1232</v>
      </c>
      <c r="B1178" s="1">
        <v>45969</v>
      </c>
      <c r="C1178" t="s">
        <v>30</v>
      </c>
      <c r="D1178" t="s">
        <v>41</v>
      </c>
      <c r="E1178" t="s">
        <v>17</v>
      </c>
      <c r="F1178" t="s">
        <v>32</v>
      </c>
      <c r="G1178" t="s">
        <v>79</v>
      </c>
      <c r="H1178">
        <v>2</v>
      </c>
      <c r="I1178">
        <v>49.95</v>
      </c>
      <c r="J1178" s="13">
        <v>0.1</v>
      </c>
      <c r="K1178">
        <v>89.9</v>
      </c>
      <c r="L1178">
        <v>58.17</v>
      </c>
      <c r="M1178">
        <v>31.73</v>
      </c>
      <c r="N1178" t="s">
        <v>60</v>
      </c>
    </row>
    <row r="1179" spans="1:14" x14ac:dyDescent="0.3">
      <c r="A1179" t="s">
        <v>1233</v>
      </c>
      <c r="B1179" s="1">
        <v>45805</v>
      </c>
      <c r="C1179" t="s">
        <v>59</v>
      </c>
      <c r="D1179" t="s">
        <v>16</v>
      </c>
      <c r="E1179" t="s">
        <v>44</v>
      </c>
      <c r="F1179" t="s">
        <v>32</v>
      </c>
      <c r="G1179" t="s">
        <v>37</v>
      </c>
      <c r="H1179">
        <v>3</v>
      </c>
      <c r="I1179">
        <v>30.75</v>
      </c>
      <c r="J1179" s="13">
        <v>0.05</v>
      </c>
      <c r="K1179">
        <v>87.63</v>
      </c>
      <c r="L1179">
        <v>70.59</v>
      </c>
      <c r="M1179">
        <v>17.04</v>
      </c>
      <c r="N1179" t="s">
        <v>72</v>
      </c>
    </row>
    <row r="1180" spans="1:14" x14ac:dyDescent="0.3">
      <c r="A1180" t="s">
        <v>1234</v>
      </c>
      <c r="B1180" s="1">
        <v>45790</v>
      </c>
      <c r="C1180" t="s">
        <v>59</v>
      </c>
      <c r="D1180" t="s">
        <v>31</v>
      </c>
      <c r="E1180" t="s">
        <v>44</v>
      </c>
      <c r="F1180" t="s">
        <v>18</v>
      </c>
      <c r="G1180" t="s">
        <v>33</v>
      </c>
      <c r="H1180">
        <v>2</v>
      </c>
      <c r="I1180">
        <v>31.69</v>
      </c>
      <c r="J1180" s="13">
        <v>0.03</v>
      </c>
      <c r="K1180">
        <v>61.48</v>
      </c>
      <c r="L1180">
        <v>49.17</v>
      </c>
      <c r="M1180">
        <v>12.31</v>
      </c>
      <c r="N1180" t="s">
        <v>72</v>
      </c>
    </row>
    <row r="1181" spans="1:14" x14ac:dyDescent="0.3">
      <c r="A1181" t="s">
        <v>1235</v>
      </c>
      <c r="B1181" s="1">
        <v>45840</v>
      </c>
      <c r="C1181" t="s">
        <v>28</v>
      </c>
      <c r="D1181" t="s">
        <v>31</v>
      </c>
      <c r="E1181" t="s">
        <v>17</v>
      </c>
      <c r="F1181" t="s">
        <v>45</v>
      </c>
      <c r="G1181" t="s">
        <v>50</v>
      </c>
      <c r="H1181">
        <v>5</v>
      </c>
      <c r="I1181">
        <v>969.71</v>
      </c>
      <c r="J1181" s="13">
        <v>0.05</v>
      </c>
      <c r="K1181">
        <v>4606.1099999999997</v>
      </c>
      <c r="L1181">
        <v>3778.97</v>
      </c>
      <c r="M1181">
        <v>827.14</v>
      </c>
      <c r="N1181" t="s">
        <v>26</v>
      </c>
    </row>
    <row r="1182" spans="1:14" x14ac:dyDescent="0.3">
      <c r="A1182" t="s">
        <v>1236</v>
      </c>
      <c r="B1182" s="1">
        <v>45924</v>
      </c>
      <c r="C1182" t="s">
        <v>69</v>
      </c>
      <c r="D1182" t="s">
        <v>16</v>
      </c>
      <c r="E1182" t="s">
        <v>24</v>
      </c>
      <c r="F1182" t="s">
        <v>18</v>
      </c>
      <c r="G1182" t="s">
        <v>33</v>
      </c>
      <c r="H1182">
        <v>1</v>
      </c>
      <c r="I1182">
        <v>275.95999999999998</v>
      </c>
      <c r="J1182" s="13">
        <v>0.05</v>
      </c>
      <c r="K1182">
        <v>262.16000000000003</v>
      </c>
      <c r="L1182">
        <v>167.99</v>
      </c>
      <c r="M1182">
        <v>94.17</v>
      </c>
      <c r="N1182" t="s">
        <v>38</v>
      </c>
    </row>
    <row r="1183" spans="1:14" x14ac:dyDescent="0.3">
      <c r="A1183" t="s">
        <v>1237</v>
      </c>
      <c r="B1183" s="1">
        <v>45759</v>
      </c>
      <c r="C1183" t="s">
        <v>59</v>
      </c>
      <c r="D1183" t="s">
        <v>16</v>
      </c>
      <c r="E1183" t="s">
        <v>17</v>
      </c>
      <c r="F1183" t="s">
        <v>45</v>
      </c>
      <c r="G1183" t="s">
        <v>46</v>
      </c>
      <c r="H1183">
        <v>4</v>
      </c>
      <c r="I1183">
        <v>34.049999999999997</v>
      </c>
      <c r="J1183" s="13">
        <v>0.05</v>
      </c>
      <c r="K1183">
        <v>129.4</v>
      </c>
      <c r="L1183">
        <v>83.21</v>
      </c>
      <c r="M1183">
        <v>46.19</v>
      </c>
      <c r="N1183" t="s">
        <v>63</v>
      </c>
    </row>
    <row r="1184" spans="1:14" x14ac:dyDescent="0.3">
      <c r="A1184" t="s">
        <v>1238</v>
      </c>
      <c r="B1184" s="1">
        <v>46008</v>
      </c>
      <c r="C1184" t="s">
        <v>69</v>
      </c>
      <c r="D1184" t="s">
        <v>16</v>
      </c>
      <c r="E1184" t="s">
        <v>17</v>
      </c>
      <c r="F1184" t="s">
        <v>18</v>
      </c>
      <c r="G1184" t="s">
        <v>37</v>
      </c>
      <c r="H1184">
        <v>2</v>
      </c>
      <c r="I1184">
        <v>307.88</v>
      </c>
      <c r="J1184" s="13">
        <v>0.05</v>
      </c>
      <c r="K1184">
        <v>584.98</v>
      </c>
      <c r="L1184">
        <v>468.97</v>
      </c>
      <c r="M1184">
        <v>116.01</v>
      </c>
      <c r="N1184" t="s">
        <v>70</v>
      </c>
    </row>
    <row r="1185" spans="1:14" x14ac:dyDescent="0.3">
      <c r="A1185" t="s">
        <v>1239</v>
      </c>
      <c r="B1185" s="1">
        <v>45883</v>
      </c>
      <c r="C1185" t="s">
        <v>59</v>
      </c>
      <c r="D1185" t="s">
        <v>23</v>
      </c>
      <c r="E1185" t="s">
        <v>24</v>
      </c>
      <c r="F1185" t="s">
        <v>45</v>
      </c>
      <c r="G1185" t="s">
        <v>46</v>
      </c>
      <c r="H1185">
        <v>1</v>
      </c>
      <c r="I1185">
        <v>34.9</v>
      </c>
      <c r="J1185" s="13">
        <v>0.05</v>
      </c>
      <c r="K1185">
        <v>33.159999999999997</v>
      </c>
      <c r="L1185">
        <v>23.96</v>
      </c>
      <c r="M1185">
        <v>9.1999999999999993</v>
      </c>
      <c r="N1185" t="s">
        <v>20</v>
      </c>
    </row>
    <row r="1186" spans="1:14" x14ac:dyDescent="0.3">
      <c r="A1186" t="s">
        <v>1240</v>
      </c>
      <c r="B1186" s="1">
        <v>46016</v>
      </c>
      <c r="C1186" t="s">
        <v>15</v>
      </c>
      <c r="D1186" t="s">
        <v>41</v>
      </c>
      <c r="E1186" t="s">
        <v>24</v>
      </c>
      <c r="F1186" t="s">
        <v>18</v>
      </c>
      <c r="G1186" t="s">
        <v>46</v>
      </c>
      <c r="H1186">
        <v>2</v>
      </c>
      <c r="I1186">
        <v>79.510000000000005</v>
      </c>
      <c r="J1186" s="13">
        <v>0.03</v>
      </c>
      <c r="K1186">
        <v>154.24</v>
      </c>
      <c r="L1186">
        <v>117.24</v>
      </c>
      <c r="M1186">
        <v>37</v>
      </c>
      <c r="N1186" t="s">
        <v>70</v>
      </c>
    </row>
    <row r="1187" spans="1:14" x14ac:dyDescent="0.3">
      <c r="A1187" t="s">
        <v>1241</v>
      </c>
      <c r="B1187" s="1">
        <v>45996</v>
      </c>
      <c r="C1187" t="s">
        <v>36</v>
      </c>
      <c r="D1187" t="s">
        <v>16</v>
      </c>
      <c r="E1187" t="s">
        <v>24</v>
      </c>
      <c r="F1187" t="s">
        <v>32</v>
      </c>
      <c r="G1187" t="s">
        <v>25</v>
      </c>
      <c r="H1187">
        <v>3</v>
      </c>
      <c r="I1187">
        <v>138.91</v>
      </c>
      <c r="J1187" s="13">
        <v>0.03</v>
      </c>
      <c r="K1187">
        <v>404.24</v>
      </c>
      <c r="L1187">
        <v>269.51</v>
      </c>
      <c r="M1187">
        <v>134.72999999999999</v>
      </c>
      <c r="N1187" t="s">
        <v>70</v>
      </c>
    </row>
    <row r="1188" spans="1:14" x14ac:dyDescent="0.3">
      <c r="A1188" t="s">
        <v>1242</v>
      </c>
      <c r="B1188" s="1">
        <v>45751</v>
      </c>
      <c r="C1188" t="s">
        <v>15</v>
      </c>
      <c r="D1188" t="s">
        <v>31</v>
      </c>
      <c r="E1188" t="s">
        <v>17</v>
      </c>
      <c r="F1188" t="s">
        <v>32</v>
      </c>
      <c r="G1188" t="s">
        <v>37</v>
      </c>
      <c r="H1188">
        <v>5</v>
      </c>
      <c r="I1188">
        <v>72.760000000000005</v>
      </c>
      <c r="J1188" s="13">
        <v>0</v>
      </c>
      <c r="K1188">
        <v>363.79</v>
      </c>
      <c r="L1188">
        <v>252.15</v>
      </c>
      <c r="M1188">
        <v>111.64</v>
      </c>
      <c r="N1188" t="s">
        <v>63</v>
      </c>
    </row>
    <row r="1189" spans="1:14" x14ac:dyDescent="0.3">
      <c r="A1189" t="s">
        <v>1243</v>
      </c>
      <c r="B1189" s="1">
        <v>45850</v>
      </c>
      <c r="C1189" t="s">
        <v>48</v>
      </c>
      <c r="D1189" t="s">
        <v>16</v>
      </c>
      <c r="E1189" t="s">
        <v>24</v>
      </c>
      <c r="F1189" t="s">
        <v>45</v>
      </c>
      <c r="G1189" t="s">
        <v>50</v>
      </c>
      <c r="H1189">
        <v>1</v>
      </c>
      <c r="I1189">
        <v>321.45</v>
      </c>
      <c r="J1189" s="13">
        <v>0.05</v>
      </c>
      <c r="K1189">
        <v>305.37</v>
      </c>
      <c r="L1189">
        <v>220.6</v>
      </c>
      <c r="M1189">
        <v>84.77</v>
      </c>
      <c r="N1189" t="s">
        <v>26</v>
      </c>
    </row>
    <row r="1190" spans="1:14" x14ac:dyDescent="0.3">
      <c r="A1190" t="s">
        <v>1244</v>
      </c>
      <c r="B1190" s="1">
        <v>45920</v>
      </c>
      <c r="C1190" t="s">
        <v>15</v>
      </c>
      <c r="D1190" t="s">
        <v>41</v>
      </c>
      <c r="E1190" t="s">
        <v>17</v>
      </c>
      <c r="F1190" t="s">
        <v>18</v>
      </c>
      <c r="G1190" t="s">
        <v>79</v>
      </c>
      <c r="H1190">
        <v>4</v>
      </c>
      <c r="I1190">
        <v>68.59</v>
      </c>
      <c r="J1190" s="13">
        <v>0.03</v>
      </c>
      <c r="K1190">
        <v>266.11</v>
      </c>
      <c r="L1190">
        <v>164.62</v>
      </c>
      <c r="M1190">
        <v>101.49</v>
      </c>
      <c r="N1190" t="s">
        <v>38</v>
      </c>
    </row>
    <row r="1191" spans="1:14" x14ac:dyDescent="0.3">
      <c r="A1191" t="s">
        <v>1245</v>
      </c>
      <c r="B1191" s="1">
        <v>45951</v>
      </c>
      <c r="C1191" t="s">
        <v>48</v>
      </c>
      <c r="D1191" t="s">
        <v>23</v>
      </c>
      <c r="E1191" t="s">
        <v>17</v>
      </c>
      <c r="F1191" t="s">
        <v>18</v>
      </c>
      <c r="G1191" t="s">
        <v>50</v>
      </c>
      <c r="H1191">
        <v>2</v>
      </c>
      <c r="I1191">
        <v>306.14999999999998</v>
      </c>
      <c r="J1191" s="13">
        <v>0.1</v>
      </c>
      <c r="K1191">
        <v>551.05999999999995</v>
      </c>
      <c r="L1191">
        <v>399.98</v>
      </c>
      <c r="M1191">
        <v>151.08000000000001</v>
      </c>
      <c r="N1191" t="s">
        <v>51</v>
      </c>
    </row>
    <row r="1192" spans="1:14" x14ac:dyDescent="0.3">
      <c r="A1192" t="s">
        <v>1246</v>
      </c>
      <c r="B1192" s="1">
        <v>45851</v>
      </c>
      <c r="C1192" t="s">
        <v>36</v>
      </c>
      <c r="D1192" t="s">
        <v>31</v>
      </c>
      <c r="E1192" t="s">
        <v>24</v>
      </c>
      <c r="F1192" t="s">
        <v>45</v>
      </c>
      <c r="G1192" t="s">
        <v>37</v>
      </c>
      <c r="H1192">
        <v>1</v>
      </c>
      <c r="I1192">
        <v>135.80000000000001</v>
      </c>
      <c r="J1192" s="13">
        <v>0.05</v>
      </c>
      <c r="K1192">
        <v>129.01</v>
      </c>
      <c r="L1192">
        <v>95.96</v>
      </c>
      <c r="M1192">
        <v>33.049999999999997</v>
      </c>
      <c r="N1192" t="s">
        <v>26</v>
      </c>
    </row>
    <row r="1193" spans="1:14" x14ac:dyDescent="0.3">
      <c r="A1193" t="s">
        <v>1247</v>
      </c>
      <c r="B1193" s="1">
        <v>45783</v>
      </c>
      <c r="C1193" t="s">
        <v>67</v>
      </c>
      <c r="D1193" t="s">
        <v>31</v>
      </c>
      <c r="E1193" t="s">
        <v>44</v>
      </c>
      <c r="F1193" t="s">
        <v>32</v>
      </c>
      <c r="G1193" t="s">
        <v>19</v>
      </c>
      <c r="H1193">
        <v>2</v>
      </c>
      <c r="I1193">
        <v>197.9</v>
      </c>
      <c r="J1193" s="13">
        <v>0.1</v>
      </c>
      <c r="K1193">
        <v>356.23</v>
      </c>
      <c r="L1193">
        <v>300.3</v>
      </c>
      <c r="M1193">
        <v>55.93</v>
      </c>
      <c r="N1193" t="s">
        <v>72</v>
      </c>
    </row>
    <row r="1194" spans="1:14" x14ac:dyDescent="0.3">
      <c r="A1194" t="s">
        <v>1248</v>
      </c>
      <c r="B1194" s="1">
        <v>45883</v>
      </c>
      <c r="C1194" t="s">
        <v>30</v>
      </c>
      <c r="D1194" t="s">
        <v>41</v>
      </c>
      <c r="E1194" t="s">
        <v>24</v>
      </c>
      <c r="F1194" t="s">
        <v>18</v>
      </c>
      <c r="G1194" t="s">
        <v>19</v>
      </c>
      <c r="H1194">
        <v>5</v>
      </c>
      <c r="I1194">
        <v>54.97</v>
      </c>
      <c r="J1194" s="13">
        <v>0.05</v>
      </c>
      <c r="K1194">
        <v>261.10000000000002</v>
      </c>
      <c r="L1194">
        <v>211.57</v>
      </c>
      <c r="M1194">
        <v>49.53</v>
      </c>
      <c r="N1194" t="s">
        <v>20</v>
      </c>
    </row>
    <row r="1195" spans="1:14" x14ac:dyDescent="0.3">
      <c r="A1195" t="s">
        <v>1249</v>
      </c>
      <c r="B1195" s="1">
        <v>45898</v>
      </c>
      <c r="C1195" t="s">
        <v>104</v>
      </c>
      <c r="D1195" t="s">
        <v>41</v>
      </c>
      <c r="E1195" t="s">
        <v>24</v>
      </c>
      <c r="F1195" t="s">
        <v>45</v>
      </c>
      <c r="G1195" t="s">
        <v>33</v>
      </c>
      <c r="H1195">
        <v>1</v>
      </c>
      <c r="I1195">
        <v>94.84</v>
      </c>
      <c r="J1195" s="13">
        <v>0.03</v>
      </c>
      <c r="K1195">
        <v>92</v>
      </c>
      <c r="L1195">
        <v>58.02</v>
      </c>
      <c r="M1195">
        <v>33.979999999999997</v>
      </c>
      <c r="N1195" t="s">
        <v>20</v>
      </c>
    </row>
    <row r="1196" spans="1:14" x14ac:dyDescent="0.3">
      <c r="A1196" t="s">
        <v>1250</v>
      </c>
      <c r="B1196" s="1">
        <v>45766</v>
      </c>
      <c r="C1196" t="s">
        <v>36</v>
      </c>
      <c r="D1196" t="s">
        <v>31</v>
      </c>
      <c r="E1196" t="s">
        <v>24</v>
      </c>
      <c r="F1196" t="s">
        <v>32</v>
      </c>
      <c r="G1196" t="s">
        <v>33</v>
      </c>
      <c r="H1196">
        <v>1</v>
      </c>
      <c r="I1196">
        <v>148.19999999999999</v>
      </c>
      <c r="J1196" s="13">
        <v>0.1</v>
      </c>
      <c r="K1196">
        <v>133.38</v>
      </c>
      <c r="L1196">
        <v>109.23</v>
      </c>
      <c r="M1196">
        <v>24.15</v>
      </c>
      <c r="N1196" t="s">
        <v>63</v>
      </c>
    </row>
    <row r="1197" spans="1:14" x14ac:dyDescent="0.3">
      <c r="A1197" t="s">
        <v>1251</v>
      </c>
      <c r="B1197" s="1">
        <v>46016</v>
      </c>
      <c r="C1197" t="s">
        <v>36</v>
      </c>
      <c r="D1197" t="s">
        <v>41</v>
      </c>
      <c r="E1197" t="s">
        <v>17</v>
      </c>
      <c r="F1197" t="s">
        <v>45</v>
      </c>
      <c r="G1197" t="s">
        <v>56</v>
      </c>
      <c r="H1197">
        <v>1</v>
      </c>
      <c r="I1197">
        <v>141.6</v>
      </c>
      <c r="J1197" s="13">
        <v>0.05</v>
      </c>
      <c r="K1197">
        <v>134.52000000000001</v>
      </c>
      <c r="L1197">
        <v>97.32</v>
      </c>
      <c r="M1197">
        <v>37.200000000000003</v>
      </c>
      <c r="N1197" t="s">
        <v>70</v>
      </c>
    </row>
    <row r="1198" spans="1:14" x14ac:dyDescent="0.3">
      <c r="A1198" t="s">
        <v>1252</v>
      </c>
      <c r="B1198" s="1">
        <v>45662</v>
      </c>
      <c r="C1198" t="s">
        <v>67</v>
      </c>
      <c r="D1198" t="s">
        <v>23</v>
      </c>
      <c r="E1198" t="s">
        <v>24</v>
      </c>
      <c r="F1198" t="s">
        <v>18</v>
      </c>
      <c r="G1198" t="s">
        <v>50</v>
      </c>
      <c r="H1198">
        <v>2</v>
      </c>
      <c r="I1198">
        <v>202.94</v>
      </c>
      <c r="J1198" s="13">
        <v>0.1</v>
      </c>
      <c r="K1198">
        <v>365.29</v>
      </c>
      <c r="L1198">
        <v>243.81</v>
      </c>
      <c r="M1198">
        <v>121.48</v>
      </c>
      <c r="N1198" t="s">
        <v>34</v>
      </c>
    </row>
    <row r="1199" spans="1:14" x14ac:dyDescent="0.3">
      <c r="A1199" t="s">
        <v>1253</v>
      </c>
      <c r="B1199" s="1">
        <v>45683</v>
      </c>
      <c r="C1199" t="s">
        <v>40</v>
      </c>
      <c r="D1199" t="s">
        <v>16</v>
      </c>
      <c r="E1199" t="s">
        <v>24</v>
      </c>
      <c r="F1199" t="s">
        <v>45</v>
      </c>
      <c r="G1199" t="s">
        <v>37</v>
      </c>
      <c r="H1199">
        <v>4</v>
      </c>
      <c r="I1199">
        <v>120.78</v>
      </c>
      <c r="J1199" s="13">
        <v>0.05</v>
      </c>
      <c r="K1199">
        <v>458.96</v>
      </c>
      <c r="L1199">
        <v>317.76</v>
      </c>
      <c r="M1199">
        <v>141.19999999999999</v>
      </c>
      <c r="N1199" t="s">
        <v>34</v>
      </c>
    </row>
    <row r="1200" spans="1:14" x14ac:dyDescent="0.3">
      <c r="A1200" t="s">
        <v>1254</v>
      </c>
      <c r="B1200" s="1">
        <v>45777</v>
      </c>
      <c r="C1200" t="s">
        <v>67</v>
      </c>
      <c r="D1200" t="s">
        <v>41</v>
      </c>
      <c r="E1200" t="s">
        <v>17</v>
      </c>
      <c r="F1200" t="s">
        <v>32</v>
      </c>
      <c r="G1200" t="s">
        <v>37</v>
      </c>
      <c r="H1200">
        <v>7</v>
      </c>
      <c r="I1200">
        <v>203.41</v>
      </c>
      <c r="J1200" s="13">
        <v>0.03</v>
      </c>
      <c r="K1200">
        <v>1381.18</v>
      </c>
      <c r="L1200">
        <v>1029.79</v>
      </c>
      <c r="M1200">
        <v>351.39</v>
      </c>
      <c r="N1200" t="s">
        <v>63</v>
      </c>
    </row>
    <row r="1201" spans="1:14" x14ac:dyDescent="0.3">
      <c r="A1201" t="s">
        <v>1255</v>
      </c>
      <c r="B1201" s="1">
        <v>45990</v>
      </c>
      <c r="C1201" t="s">
        <v>40</v>
      </c>
      <c r="D1201" t="s">
        <v>41</v>
      </c>
      <c r="E1201" t="s">
        <v>24</v>
      </c>
      <c r="F1201" t="s">
        <v>18</v>
      </c>
      <c r="G1201" t="s">
        <v>50</v>
      </c>
      <c r="H1201">
        <v>6</v>
      </c>
      <c r="I1201">
        <v>105.25</v>
      </c>
      <c r="J1201" s="13">
        <v>0.03</v>
      </c>
      <c r="K1201">
        <v>612.54999999999995</v>
      </c>
      <c r="L1201">
        <v>402.86</v>
      </c>
      <c r="M1201">
        <v>209.69</v>
      </c>
      <c r="N1201" t="s">
        <v>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2FAD-B234-4D50-9D5F-19ED19D29E70}">
  <sheetPr codeName="Sheet2"/>
  <dimension ref="B1:U58"/>
  <sheetViews>
    <sheetView showGridLines="0" tabSelected="1" topLeftCell="A18" zoomScale="77" workbookViewId="0">
      <selection activeCell="D27" sqref="D27"/>
    </sheetView>
  </sheetViews>
  <sheetFormatPr defaultRowHeight="14.4" x14ac:dyDescent="0.3"/>
  <cols>
    <col min="1" max="1" width="4.6640625" style="3" customWidth="1"/>
    <col min="2" max="2" width="23.44140625" style="3" bestFit="1" customWidth="1"/>
    <col min="3" max="3" width="16.21875" style="3" bestFit="1" customWidth="1"/>
    <col min="4" max="4" width="20.109375" style="3" bestFit="1" customWidth="1"/>
    <col min="5" max="5" width="14.109375" style="3" customWidth="1"/>
    <col min="6" max="6" width="16.88671875" style="3" bestFit="1" customWidth="1"/>
    <col min="7" max="7" width="24.5546875" style="3" bestFit="1" customWidth="1"/>
    <col min="8" max="8" width="28.6640625" style="3" bestFit="1" customWidth="1"/>
    <col min="9" max="9" width="23.6640625" style="3" bestFit="1" customWidth="1"/>
    <col min="10" max="10" width="11.5546875" style="3" bestFit="1" customWidth="1"/>
    <col min="11" max="21" width="17" style="3" customWidth="1"/>
    <col min="22" max="16384" width="8.88671875" style="3"/>
  </cols>
  <sheetData>
    <row r="1" spans="2:17" ht="18" x14ac:dyDescent="0.3">
      <c r="B1" s="21" t="s">
        <v>1264</v>
      </c>
      <c r="C1" s="21" t="s">
        <v>1265</v>
      </c>
      <c r="D1" s="21" t="s">
        <v>1266</v>
      </c>
      <c r="E1" s="21" t="s">
        <v>1267</v>
      </c>
      <c r="F1" s="21" t="s">
        <v>1268</v>
      </c>
      <c r="G1" s="21" t="s">
        <v>1269</v>
      </c>
      <c r="H1" s="21" t="s">
        <v>1270</v>
      </c>
      <c r="I1" s="21" t="s">
        <v>1271</v>
      </c>
    </row>
    <row r="2" spans="2:17" ht="18" x14ac:dyDescent="0.35">
      <c r="B2" s="22">
        <f>SUM(Table4[Revenue])</f>
        <v>870310.36999999988</v>
      </c>
      <c r="C2" s="22">
        <f>SUM(Table4[Profit])</f>
        <v>244411.19000000024</v>
      </c>
      <c r="D2" s="23">
        <f>SUM(Table4[Quantity])</f>
        <v>3525</v>
      </c>
      <c r="E2" s="22">
        <f>B2/D2</f>
        <v>246.89655886524818</v>
      </c>
      <c r="F2" s="24">
        <f>C2/B2</f>
        <v>0.28083221621270615</v>
      </c>
      <c r="G2" s="23" t="str">
        <f>INDEX('Product Analysis'!G6:G17, MATCH(MAX('Product Analysis'!H6:H17),'Product Analysis'!H6:H17,0))</f>
        <v>Laptop</v>
      </c>
      <c r="H2" s="23" t="str">
        <f>INDEX(_xlfn.ANCHORARRAY('Product Analysis'!M49),MATCH(MAX(_xlfn.ANCHORARRAY('Product Analysis'!N49)),_xlfn.ANCHORARRAY('Product Analysis'!N49),0))</f>
        <v>North</v>
      </c>
      <c r="I2" s="23" t="str">
        <f>INDEX(Table4[Salesperson],MATCH(MAX(_xlfn.ANCHORARRAY(K49)),_xlfn.ANCHORARRAY(K49),0))</f>
        <v>Omid</v>
      </c>
    </row>
    <row r="5" spans="2:17" ht="17.399999999999999" x14ac:dyDescent="0.35">
      <c r="B5" s="25" t="s">
        <v>2</v>
      </c>
      <c r="C5" s="25" t="s">
        <v>10</v>
      </c>
      <c r="D5" s="25" t="s">
        <v>12</v>
      </c>
      <c r="E5" s="25" t="s">
        <v>1262</v>
      </c>
      <c r="G5" s="25" t="s">
        <v>2</v>
      </c>
      <c r="H5" s="25" t="s">
        <v>10</v>
      </c>
      <c r="I5" s="25" t="s">
        <v>12</v>
      </c>
    </row>
    <row r="6" spans="2:17" ht="17.399999999999999" x14ac:dyDescent="0.35">
      <c r="B6" s="26" t="str" cm="1">
        <f t="array" ref="B6:B17">_xlfn.UNIQUE(SalesData!C2:C1201)</f>
        <v>Headset</v>
      </c>
      <c r="C6" s="27" cm="1">
        <f t="array" ref="C6:C17">SUMIFS(Table4[Revenue],Table4[Product],_xlfn.ANCHORARRAY('Product Analysis'!B6))</f>
        <v>18987.390000000003</v>
      </c>
      <c r="D6" s="27" cm="1">
        <f t="array" ref="D6:D17">SUMIFS(Table4[Profit],Table4[Product],_xlfn.ANCHORARRAY('Product Analysis'!B6))</f>
        <v>5574.23</v>
      </c>
      <c r="E6" s="26" cm="1">
        <f t="array" ref="E6:E17">SUMIFS(Table4[Quantity],Table4[Product],_xlfn.ANCHORARRAY('Product Analysis'!B6))</f>
        <v>265</v>
      </c>
      <c r="G6" s="26" t="str" cm="1">
        <f t="array" ref="G6:I17">_xlfn.SORTBY(B6:D17,_xlfn.ANCHORARRAY(C6),-1)</f>
        <v>Laptop</v>
      </c>
      <c r="H6" s="27">
        <v>315460.52000000008</v>
      </c>
      <c r="I6" s="27">
        <v>88361.630000000019</v>
      </c>
    </row>
    <row r="7" spans="2:17" ht="17.399999999999999" x14ac:dyDescent="0.35">
      <c r="B7" s="26" t="str">
        <v>RAM</v>
      </c>
      <c r="C7" s="27">
        <v>21457.360000000001</v>
      </c>
      <c r="D7" s="27">
        <v>5853.880000000001</v>
      </c>
      <c r="E7" s="26">
        <v>265</v>
      </c>
      <c r="G7" s="26" t="str">
        <v>Smartphone</v>
      </c>
      <c r="H7" s="27">
        <v>182656.37999999998</v>
      </c>
      <c r="I7" s="27">
        <v>50552.900000000009</v>
      </c>
    </row>
    <row r="8" spans="2:17" ht="17.399999999999999" x14ac:dyDescent="0.35">
      <c r="B8" s="26" t="str">
        <v>Laptop</v>
      </c>
      <c r="C8" s="27">
        <v>315460.52000000008</v>
      </c>
      <c r="D8" s="27">
        <v>88361.630000000019</v>
      </c>
      <c r="E8" s="26">
        <v>352</v>
      </c>
      <c r="G8" s="26" t="str">
        <v>Tablet</v>
      </c>
      <c r="H8" s="27">
        <v>89667.169999999984</v>
      </c>
      <c r="I8" s="27">
        <v>26344.82</v>
      </c>
    </row>
    <row r="9" spans="2:17" ht="17.399999999999999" x14ac:dyDescent="0.35">
      <c r="B9" s="26" t="str">
        <v>Keyboard</v>
      </c>
      <c r="C9" s="27">
        <v>17215.099999999995</v>
      </c>
      <c r="D9" s="27">
        <v>5005.369999999999</v>
      </c>
      <c r="E9" s="26">
        <v>329</v>
      </c>
      <c r="G9" s="26" t="str">
        <v>Monitor</v>
      </c>
      <c r="H9" s="27">
        <v>73751.099999999977</v>
      </c>
      <c r="I9" s="27">
        <v>20441.88</v>
      </c>
    </row>
    <row r="10" spans="2:17" ht="17.399999999999999" x14ac:dyDescent="0.35">
      <c r="B10" s="26" t="str">
        <v>Docking Station</v>
      </c>
      <c r="C10" s="27">
        <v>39373.30999999999</v>
      </c>
      <c r="D10" s="27">
        <v>11353.37</v>
      </c>
      <c r="E10" s="26">
        <v>283</v>
      </c>
      <c r="G10" s="26" t="str">
        <v>Printer</v>
      </c>
      <c r="H10" s="27">
        <v>44824.929999999978</v>
      </c>
      <c r="I10" s="27">
        <v>12034.919999999996</v>
      </c>
    </row>
    <row r="11" spans="2:17" ht="17.399999999999999" x14ac:dyDescent="0.35">
      <c r="B11" s="26" t="str">
        <v>SSD</v>
      </c>
      <c r="C11" s="27">
        <v>31037.719999999998</v>
      </c>
      <c r="D11" s="27">
        <v>8588.7900000000027</v>
      </c>
      <c r="E11" s="26">
        <v>294</v>
      </c>
      <c r="G11" s="26" t="str">
        <v>Docking Station</v>
      </c>
      <c r="H11" s="27">
        <v>39373.30999999999</v>
      </c>
      <c r="I11" s="27">
        <v>11353.37</v>
      </c>
    </row>
    <row r="12" spans="2:17" ht="17.399999999999999" x14ac:dyDescent="0.35">
      <c r="B12" s="26" t="str">
        <v>Smartphone</v>
      </c>
      <c r="C12" s="27">
        <v>182656.37999999998</v>
      </c>
      <c r="D12" s="27">
        <v>50552.900000000009</v>
      </c>
      <c r="E12" s="26">
        <v>311</v>
      </c>
      <c r="G12" s="26" t="str">
        <v>SSD</v>
      </c>
      <c r="H12" s="27">
        <v>31037.719999999998</v>
      </c>
      <c r="I12" s="27">
        <v>8588.7900000000027</v>
      </c>
    </row>
    <row r="13" spans="2:17" ht="17.399999999999999" x14ac:dyDescent="0.35">
      <c r="B13" s="26" t="str">
        <v>Tablet</v>
      </c>
      <c r="C13" s="27">
        <v>89667.169999999984</v>
      </c>
      <c r="D13" s="27">
        <v>26344.82</v>
      </c>
      <c r="E13" s="26">
        <v>272</v>
      </c>
      <c r="G13" s="26" t="str">
        <v>Webcam</v>
      </c>
      <c r="H13" s="27">
        <v>24949.809999999994</v>
      </c>
      <c r="I13" s="27">
        <v>7286.5800000000017</v>
      </c>
    </row>
    <row r="14" spans="2:17" ht="17.399999999999999" x14ac:dyDescent="0.35">
      <c r="B14" s="26" t="str">
        <v>Mouse</v>
      </c>
      <c r="C14" s="27">
        <v>10929.579999999996</v>
      </c>
      <c r="D14" s="27">
        <v>3012.8199999999988</v>
      </c>
      <c r="E14" s="26">
        <v>358</v>
      </c>
      <c r="G14" s="26" t="str">
        <v>RAM</v>
      </c>
      <c r="H14" s="27">
        <v>21457.360000000001</v>
      </c>
      <c r="I14" s="27">
        <v>5853.880000000001</v>
      </c>
    </row>
    <row r="15" spans="2:17" ht="17.399999999999999" x14ac:dyDescent="0.35">
      <c r="B15" s="26" t="str">
        <v>Printer</v>
      </c>
      <c r="C15" s="27">
        <v>44824.929999999978</v>
      </c>
      <c r="D15" s="27">
        <v>12034.919999999996</v>
      </c>
      <c r="E15" s="26">
        <v>251</v>
      </c>
      <c r="G15" s="26" t="str">
        <v>Headset</v>
      </c>
      <c r="H15" s="27">
        <v>18987.390000000003</v>
      </c>
      <c r="I15" s="27">
        <v>5574.23</v>
      </c>
      <c r="L15"/>
      <c r="M15"/>
      <c r="N15"/>
      <c r="O15"/>
      <c r="P15"/>
      <c r="Q15"/>
    </row>
    <row r="16" spans="2:17" ht="17.399999999999999" x14ac:dyDescent="0.35">
      <c r="B16" s="26" t="str">
        <v>Monitor</v>
      </c>
      <c r="C16" s="27">
        <v>73751.099999999977</v>
      </c>
      <c r="D16" s="27">
        <v>20441.88</v>
      </c>
      <c r="E16" s="26">
        <v>272</v>
      </c>
      <c r="G16" s="26" t="str">
        <v>Keyboard</v>
      </c>
      <c r="H16" s="27">
        <v>17215.099999999995</v>
      </c>
      <c r="I16" s="27">
        <v>5005.369999999999</v>
      </c>
      <c r="L16"/>
      <c r="M16"/>
      <c r="N16"/>
      <c r="O16"/>
      <c r="P16"/>
      <c r="Q16"/>
    </row>
    <row r="17" spans="2:21" ht="17.399999999999999" x14ac:dyDescent="0.35">
      <c r="B17" s="26" t="str">
        <v>Webcam</v>
      </c>
      <c r="C17" s="27">
        <v>24949.809999999994</v>
      </c>
      <c r="D17" s="27">
        <v>7286.5800000000017</v>
      </c>
      <c r="E17" s="26">
        <v>273</v>
      </c>
      <c r="G17" s="26" t="str">
        <v>Mouse</v>
      </c>
      <c r="H17" s="27">
        <v>10929.579999999996</v>
      </c>
      <c r="I17" s="27">
        <v>3012.8199999999988</v>
      </c>
      <c r="L17"/>
      <c r="M17"/>
      <c r="N17"/>
      <c r="O17"/>
      <c r="P17"/>
      <c r="Q17"/>
    </row>
    <row r="18" spans="2:21" x14ac:dyDescent="0.3">
      <c r="L18"/>
      <c r="M18"/>
      <c r="N18"/>
      <c r="O18"/>
      <c r="P18"/>
      <c r="Q18"/>
    </row>
    <row r="19" spans="2:21" ht="21" customHeight="1" x14ac:dyDescent="0.3">
      <c r="B19" s="8" t="s">
        <v>3</v>
      </c>
      <c r="C19" s="7" t="s">
        <v>16</v>
      </c>
      <c r="L19"/>
      <c r="M19"/>
      <c r="N19"/>
      <c r="O19"/>
      <c r="P19"/>
      <c r="Q19"/>
    </row>
    <row r="20" spans="2:21" ht="21" customHeight="1" x14ac:dyDescent="0.3">
      <c r="B20" s="8" t="s">
        <v>4</v>
      </c>
      <c r="C20" s="7" t="s">
        <v>17</v>
      </c>
      <c r="L20"/>
      <c r="M20"/>
      <c r="N20"/>
      <c r="O20"/>
      <c r="P20"/>
      <c r="Q20"/>
    </row>
    <row r="21" spans="2:21" ht="21" customHeight="1" x14ac:dyDescent="0.3">
      <c r="B21" s="8" t="s">
        <v>1257</v>
      </c>
      <c r="C21" s="7" t="s">
        <v>45</v>
      </c>
      <c r="G21"/>
      <c r="H21"/>
      <c r="I21"/>
      <c r="J21"/>
      <c r="K21"/>
      <c r="L21"/>
      <c r="M21"/>
      <c r="N21"/>
      <c r="O21"/>
      <c r="P21"/>
      <c r="Q21"/>
    </row>
    <row r="22" spans="2:21" ht="21" customHeight="1" x14ac:dyDescent="0.3">
      <c r="B22" s="8" t="s">
        <v>1258</v>
      </c>
      <c r="C22" s="7">
        <v>7785.96</v>
      </c>
      <c r="L22"/>
      <c r="M22"/>
      <c r="N22"/>
      <c r="O22"/>
      <c r="P22"/>
      <c r="Q22"/>
    </row>
    <row r="23" spans="2:21" ht="21" customHeight="1" x14ac:dyDescent="0.3">
      <c r="B23" s="8" t="s">
        <v>1259</v>
      </c>
      <c r="C23" s="7">
        <v>25.87</v>
      </c>
      <c r="H23" s="20" t="s">
        <v>1276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</row>
    <row r="24" spans="2:21" x14ac:dyDescent="0.3">
      <c r="B24" s="6" t="s">
        <v>0</v>
      </c>
      <c r="C24" s="6" t="s">
        <v>2</v>
      </c>
      <c r="D24" s="6" t="s">
        <v>3</v>
      </c>
      <c r="E24" s="6" t="s">
        <v>4</v>
      </c>
      <c r="F24" s="6" t="s">
        <v>10</v>
      </c>
      <c r="H24" s="14" t="s">
        <v>1273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2:21" x14ac:dyDescent="0.3">
      <c r="B25" s="10" t="str" cm="1">
        <f t="array" ref="B25:F58">_xlfn.CHOOSECOLS(_xlfn._xlws.SORT(_xlfn._xlws.FILTER(Table4[],(Table4[Region]=C19)*(Table4[Channel]=C20)*(Table4[CustomerSegment]=C21)*(Table4[Revenue]&gt;=C23)*(Table4[Revenue]&lt;=C22)),11,-1),1,3,4,5,11)</f>
        <v>SO-00290</v>
      </c>
      <c r="C25" s="10" t="str">
        <v>Laptop</v>
      </c>
      <c r="D25" s="10" t="str">
        <v>East</v>
      </c>
      <c r="E25" s="10" t="str">
        <v>Retail Store</v>
      </c>
      <c r="F25" s="11">
        <v>3760.51</v>
      </c>
      <c r="H25" s="5" t="s">
        <v>0</v>
      </c>
      <c r="I25" s="5" t="s">
        <v>1</v>
      </c>
      <c r="J25" s="5" t="s">
        <v>2</v>
      </c>
      <c r="K25" s="5" t="s">
        <v>3</v>
      </c>
      <c r="L25" s="5" t="s">
        <v>4</v>
      </c>
      <c r="M25" s="5" t="s">
        <v>5</v>
      </c>
      <c r="N25" s="5" t="s">
        <v>6</v>
      </c>
      <c r="O25" s="5" t="s">
        <v>7</v>
      </c>
      <c r="P25" s="5" t="s">
        <v>8</v>
      </c>
      <c r="Q25" s="5" t="s">
        <v>9</v>
      </c>
      <c r="R25" s="5" t="s">
        <v>10</v>
      </c>
      <c r="S25" s="5" t="s">
        <v>11</v>
      </c>
      <c r="T25" s="5" t="s">
        <v>12</v>
      </c>
      <c r="U25" s="5" t="s">
        <v>13</v>
      </c>
    </row>
    <row r="26" spans="2:21" x14ac:dyDescent="0.3">
      <c r="B26" s="10" t="str">
        <v>SO-00929</v>
      </c>
      <c r="C26" s="10" t="str">
        <v>Smartphone</v>
      </c>
      <c r="D26" s="10" t="str">
        <v>East</v>
      </c>
      <c r="E26" s="10" t="str">
        <v>Retail Store</v>
      </c>
      <c r="F26" s="11">
        <v>3744.03</v>
      </c>
      <c r="H26" s="15" t="str" cm="1">
        <f t="array" ref="H26:U29">_xlfn._xlws.FILTER(Table4[],Table4[Quantity] = 0,"No issues found")</f>
        <v>SO-00094</v>
      </c>
      <c r="I26" s="15">
        <v>45806</v>
      </c>
      <c r="J26" s="15" t="str">
        <v>Monitor</v>
      </c>
      <c r="K26" s="15" t="str">
        <v>East</v>
      </c>
      <c r="L26" s="15" t="str">
        <v>Online</v>
      </c>
      <c r="M26" s="15" t="str">
        <v>Consumer</v>
      </c>
      <c r="N26" s="15" t="str">
        <v>Hassan</v>
      </c>
      <c r="O26" s="15">
        <v>0</v>
      </c>
      <c r="P26" s="16">
        <v>303.57</v>
      </c>
      <c r="Q26" s="17">
        <v>0.05</v>
      </c>
      <c r="R26" s="16">
        <v>1441.94</v>
      </c>
      <c r="S26" s="16">
        <v>1059.8399999999999</v>
      </c>
      <c r="T26" s="16">
        <v>382.1</v>
      </c>
      <c r="U26" s="15" t="str">
        <v>2025-05</v>
      </c>
    </row>
    <row r="27" spans="2:21" x14ac:dyDescent="0.3">
      <c r="B27" s="10" t="str">
        <v>SO-00805</v>
      </c>
      <c r="C27" s="10" t="str">
        <v>Laptop</v>
      </c>
      <c r="D27" s="10" t="str">
        <v>East</v>
      </c>
      <c r="E27" s="10" t="str">
        <v>Retail Store</v>
      </c>
      <c r="F27" s="11">
        <v>3506.32</v>
      </c>
      <c r="H27" s="15" t="str">
        <v>SO-00292</v>
      </c>
      <c r="I27" s="15">
        <v>46012</v>
      </c>
      <c r="J27" s="15" t="str">
        <v>Webcam</v>
      </c>
      <c r="K27" s="15" t="str">
        <v>West</v>
      </c>
      <c r="L27" s="15" t="str">
        <v>Online</v>
      </c>
      <c r="M27" s="15" t="str">
        <v>Small Business</v>
      </c>
      <c r="N27" s="15" t="str">
        <v>Lina</v>
      </c>
      <c r="O27" s="15">
        <v>0</v>
      </c>
      <c r="P27" s="16">
        <v>86.98</v>
      </c>
      <c r="Q27" s="17">
        <v>0.03</v>
      </c>
      <c r="R27" s="16">
        <v>168.73</v>
      </c>
      <c r="S27" s="16">
        <v>103.19</v>
      </c>
      <c r="T27" s="16">
        <v>65.540000000000006</v>
      </c>
      <c r="U27" s="15" t="str">
        <v>2025-12</v>
      </c>
    </row>
    <row r="28" spans="2:21" x14ac:dyDescent="0.3">
      <c r="B28" s="10" t="str">
        <v>SO-00254</v>
      </c>
      <c r="C28" s="10" t="str">
        <v>Smartphone</v>
      </c>
      <c r="D28" s="10" t="str">
        <v>East</v>
      </c>
      <c r="E28" s="10" t="str">
        <v>Retail Store</v>
      </c>
      <c r="F28" s="11">
        <v>2377.54</v>
      </c>
      <c r="H28" s="15" t="str">
        <v>SO-00397</v>
      </c>
      <c r="I28" s="15">
        <v>45769</v>
      </c>
      <c r="J28" s="15" t="str">
        <v>Keyboard</v>
      </c>
      <c r="K28" s="15" t="str">
        <v>North</v>
      </c>
      <c r="L28" s="15" t="str">
        <v>Retail Store</v>
      </c>
      <c r="M28" s="15" t="str">
        <v>Small Business</v>
      </c>
      <c r="N28" s="15" t="str">
        <v>Hassan</v>
      </c>
      <c r="O28" s="15">
        <v>0</v>
      </c>
      <c r="P28" s="16">
        <v>49.97</v>
      </c>
      <c r="Q28" s="17">
        <v>0.05</v>
      </c>
      <c r="R28" s="16">
        <v>142.4</v>
      </c>
      <c r="S28" s="16">
        <v>115.38</v>
      </c>
      <c r="T28" s="16">
        <v>27.02</v>
      </c>
      <c r="U28" s="15" t="str">
        <v>2025-04</v>
      </c>
    </row>
    <row r="29" spans="2:21" x14ac:dyDescent="0.3">
      <c r="B29" s="10" t="str">
        <v>SO-00936</v>
      </c>
      <c r="C29" s="10" t="str">
        <v>Tablet</v>
      </c>
      <c r="D29" s="10" t="str">
        <v>East</v>
      </c>
      <c r="E29" s="10" t="str">
        <v>Retail Store</v>
      </c>
      <c r="F29" s="11">
        <v>1190.0899999999999</v>
      </c>
      <c r="H29" s="15" t="str">
        <v>SO-00418</v>
      </c>
      <c r="I29" s="15">
        <v>45926</v>
      </c>
      <c r="J29" s="15" t="str">
        <v>SSD</v>
      </c>
      <c r="K29" s="15" t="str">
        <v>East</v>
      </c>
      <c r="L29" s="15" t="str">
        <v>Online</v>
      </c>
      <c r="M29" s="15" t="str">
        <v>Consumer</v>
      </c>
      <c r="N29" s="15" t="str">
        <v>Omid</v>
      </c>
      <c r="O29" s="15">
        <v>0</v>
      </c>
      <c r="P29" s="16">
        <v>120.99</v>
      </c>
      <c r="Q29" s="17">
        <v>0.03</v>
      </c>
      <c r="R29" s="16">
        <v>469.44</v>
      </c>
      <c r="S29" s="16">
        <v>360.8</v>
      </c>
      <c r="T29" s="16">
        <v>108.64</v>
      </c>
      <c r="U29" s="15" t="str">
        <v>2025-09</v>
      </c>
    </row>
    <row r="30" spans="2:21" x14ac:dyDescent="0.3">
      <c r="B30" s="10" t="str">
        <v>SO-00935</v>
      </c>
      <c r="C30" s="10" t="str">
        <v>Smartphone</v>
      </c>
      <c r="D30" s="10" t="str">
        <v>East</v>
      </c>
      <c r="E30" s="10" t="str">
        <v>Retail Store</v>
      </c>
      <c r="F30" s="11">
        <v>1009.36</v>
      </c>
      <c r="H30" s="5" t="s">
        <v>1274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2:21" x14ac:dyDescent="0.3">
      <c r="B31" s="10" t="str">
        <v>SO-00923</v>
      </c>
      <c r="C31" s="10" t="str">
        <v>Smartphone</v>
      </c>
      <c r="D31" s="10" t="str">
        <v>East</v>
      </c>
      <c r="E31" s="10" t="str">
        <v>Retail Store</v>
      </c>
      <c r="F31" s="11">
        <v>634.69000000000005</v>
      </c>
      <c r="H31" s="5" t="s">
        <v>0</v>
      </c>
      <c r="I31" s="5" t="s">
        <v>1</v>
      </c>
      <c r="J31" s="5" t="s">
        <v>2</v>
      </c>
      <c r="K31" s="5" t="s">
        <v>3</v>
      </c>
      <c r="L31" s="5" t="s">
        <v>4</v>
      </c>
      <c r="M31" s="5" t="s">
        <v>5</v>
      </c>
      <c r="N31" s="5" t="s">
        <v>6</v>
      </c>
      <c r="O31" s="5" t="s">
        <v>7</v>
      </c>
      <c r="P31" s="5" t="s">
        <v>8</v>
      </c>
      <c r="Q31" s="5" t="s">
        <v>9</v>
      </c>
      <c r="R31" s="5" t="s">
        <v>10</v>
      </c>
      <c r="S31" s="5" t="s">
        <v>11</v>
      </c>
      <c r="T31" s="5" t="s">
        <v>12</v>
      </c>
      <c r="U31" s="5" t="s">
        <v>13</v>
      </c>
    </row>
    <row r="32" spans="2:21" x14ac:dyDescent="0.3">
      <c r="B32" s="10" t="str">
        <v>SO-00741</v>
      </c>
      <c r="C32" s="10" t="str">
        <v>Printer</v>
      </c>
      <c r="D32" s="10" t="str">
        <v>East</v>
      </c>
      <c r="E32" s="10" t="str">
        <v>Retail Store</v>
      </c>
      <c r="F32" s="11">
        <v>519.30999999999995</v>
      </c>
      <c r="H32" s="15" t="str" cm="1">
        <f t="array" ref="H32:U35">_xlfn._xlws.FILTER(Table4[],Table4[Discount]&gt;20%,"No issues fount")</f>
        <v>SO-00205</v>
      </c>
      <c r="I32" s="15">
        <v>46000</v>
      </c>
      <c r="J32" s="15" t="str">
        <v>Printer</v>
      </c>
      <c r="K32" s="15" t="str">
        <v>West</v>
      </c>
      <c r="L32" s="15" t="str">
        <v>Corporate</v>
      </c>
      <c r="M32" s="15" t="str">
        <v>Consumer</v>
      </c>
      <c r="N32" s="15" t="str">
        <v>Hassan</v>
      </c>
      <c r="O32" s="15">
        <v>2</v>
      </c>
      <c r="P32" s="16">
        <v>189.83</v>
      </c>
      <c r="Q32" s="17">
        <v>0.3</v>
      </c>
      <c r="R32" s="16">
        <v>360.67</v>
      </c>
      <c r="S32" s="16">
        <v>237.43</v>
      </c>
      <c r="T32" s="16">
        <v>123.24</v>
      </c>
      <c r="U32" s="15" t="str">
        <v>2025-12</v>
      </c>
    </row>
    <row r="33" spans="2:21" x14ac:dyDescent="0.3">
      <c r="B33" s="10" t="str">
        <v>SO-00314</v>
      </c>
      <c r="C33" s="10" t="str">
        <v>Docking Station</v>
      </c>
      <c r="D33" s="10" t="str">
        <v>East</v>
      </c>
      <c r="E33" s="10" t="str">
        <v>Retail Store</v>
      </c>
      <c r="F33" s="11">
        <v>425.73</v>
      </c>
      <c r="H33" s="15" t="str">
        <v>SO-00209</v>
      </c>
      <c r="I33" s="15">
        <v>45762</v>
      </c>
      <c r="J33" s="15" t="str">
        <v>Smartphone</v>
      </c>
      <c r="K33" s="15" t="str">
        <v>North</v>
      </c>
      <c r="L33" s="15" t="str">
        <v>Corporate</v>
      </c>
      <c r="M33" s="15" t="str">
        <v>Consumer</v>
      </c>
      <c r="N33" s="15" t="str">
        <v>Omid</v>
      </c>
      <c r="O33" s="15">
        <v>1</v>
      </c>
      <c r="P33" s="16">
        <v>640.75</v>
      </c>
      <c r="Q33" s="17">
        <v>0.3</v>
      </c>
      <c r="R33" s="16">
        <v>621.53</v>
      </c>
      <c r="S33" s="16">
        <v>405.05</v>
      </c>
      <c r="T33" s="16">
        <v>216.48</v>
      </c>
      <c r="U33" s="15" t="str">
        <v>2025-04</v>
      </c>
    </row>
    <row r="34" spans="2:21" x14ac:dyDescent="0.3">
      <c r="B34" s="10" t="str">
        <v>SO-01024</v>
      </c>
      <c r="C34" s="10" t="str">
        <v>RAM</v>
      </c>
      <c r="D34" s="10" t="str">
        <v>East</v>
      </c>
      <c r="E34" s="10" t="str">
        <v>Retail Store</v>
      </c>
      <c r="F34" s="11">
        <v>352.7</v>
      </c>
      <c r="H34" s="15" t="str">
        <v>SO-00363</v>
      </c>
      <c r="I34" s="15">
        <v>45778</v>
      </c>
      <c r="J34" s="15" t="str">
        <v>Laptop</v>
      </c>
      <c r="K34" s="15" t="str">
        <v>North</v>
      </c>
      <c r="L34" s="15" t="str">
        <v>Corporate</v>
      </c>
      <c r="M34" s="15" t="str">
        <v>Consumer</v>
      </c>
      <c r="N34" s="15" t="str">
        <v>Lina</v>
      </c>
      <c r="O34" s="15">
        <v>2</v>
      </c>
      <c r="P34" s="16">
        <v>894.91</v>
      </c>
      <c r="Q34" s="17">
        <v>0.3</v>
      </c>
      <c r="R34" s="16">
        <v>1700.32</v>
      </c>
      <c r="S34" s="16">
        <v>1042.2</v>
      </c>
      <c r="T34" s="16">
        <v>658.12</v>
      </c>
      <c r="U34" s="15" t="str">
        <v>2025-05</v>
      </c>
    </row>
    <row r="35" spans="2:21" x14ac:dyDescent="0.3">
      <c r="B35" s="10" t="str">
        <v>SO-00109</v>
      </c>
      <c r="C35" s="10" t="str">
        <v>Tablet</v>
      </c>
      <c r="D35" s="10" t="str">
        <v>East</v>
      </c>
      <c r="E35" s="10" t="str">
        <v>Retail Store</v>
      </c>
      <c r="F35" s="11">
        <v>320.04000000000002</v>
      </c>
      <c r="H35" s="15" t="str">
        <v>SO-00955</v>
      </c>
      <c r="I35" s="15">
        <v>45937</v>
      </c>
      <c r="J35" s="15" t="str">
        <v>Mouse</v>
      </c>
      <c r="K35" s="15" t="str">
        <v>West</v>
      </c>
      <c r="L35" s="15" t="str">
        <v>Retail Store</v>
      </c>
      <c r="M35" s="15" t="str">
        <v>Small Business</v>
      </c>
      <c r="N35" s="15" t="str">
        <v>Lina</v>
      </c>
      <c r="O35" s="15">
        <v>4</v>
      </c>
      <c r="P35" s="16">
        <v>34.35</v>
      </c>
      <c r="Q35" s="17">
        <v>0.3</v>
      </c>
      <c r="R35" s="16">
        <v>123.65</v>
      </c>
      <c r="S35" s="16">
        <v>93.29</v>
      </c>
      <c r="T35" s="16">
        <v>30.36</v>
      </c>
      <c r="U35" s="15" t="str">
        <v>2025-10</v>
      </c>
    </row>
    <row r="36" spans="2:21" x14ac:dyDescent="0.3">
      <c r="B36" s="10" t="str">
        <v>SO-00908</v>
      </c>
      <c r="C36" s="10" t="str">
        <v>RAM</v>
      </c>
      <c r="D36" s="10" t="str">
        <v>East</v>
      </c>
      <c r="E36" s="10" t="str">
        <v>Retail Store</v>
      </c>
      <c r="F36" s="11">
        <v>318.62</v>
      </c>
      <c r="H36" s="5" t="s">
        <v>1275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2:21" x14ac:dyDescent="0.3">
      <c r="B37" s="10" t="str">
        <v>SO-00347</v>
      </c>
      <c r="C37" s="10" t="str">
        <v>Headset</v>
      </c>
      <c r="D37" s="10" t="str">
        <v>East</v>
      </c>
      <c r="E37" s="10" t="str">
        <v>Retail Store</v>
      </c>
      <c r="F37" s="11">
        <v>312.48</v>
      </c>
      <c r="H37" s="5" t="s">
        <v>0</v>
      </c>
      <c r="I37" s="5" t="s">
        <v>1</v>
      </c>
      <c r="J37" s="5" t="s">
        <v>2</v>
      </c>
      <c r="K37" s="5" t="s">
        <v>3</v>
      </c>
      <c r="L37" s="5" t="s">
        <v>4</v>
      </c>
      <c r="M37" s="5" t="s">
        <v>5</v>
      </c>
      <c r="N37" s="5" t="s">
        <v>6</v>
      </c>
      <c r="O37" s="5" t="s">
        <v>7</v>
      </c>
      <c r="P37" s="5" t="s">
        <v>8</v>
      </c>
      <c r="Q37" s="5" t="s">
        <v>9</v>
      </c>
      <c r="R37" s="5" t="s">
        <v>10</v>
      </c>
      <c r="S37" s="5" t="s">
        <v>11</v>
      </c>
      <c r="T37" s="5" t="s">
        <v>12</v>
      </c>
      <c r="U37" s="5" t="s">
        <v>13</v>
      </c>
    </row>
    <row r="38" spans="2:21" x14ac:dyDescent="0.3">
      <c r="B38" s="10" t="str">
        <v>SO-00504</v>
      </c>
      <c r="C38" s="10" t="str">
        <v>Monitor</v>
      </c>
      <c r="D38" s="10" t="str">
        <v>East</v>
      </c>
      <c r="E38" s="10" t="str">
        <v>Retail Store</v>
      </c>
      <c r="F38" s="11">
        <v>246.15</v>
      </c>
      <c r="H38" s="15" t="str" cm="1">
        <f t="array" ref="H38:U45">_xlfn.SORTBY(_xlfn._xlws.FILTER(Table4[],(Table4[Quantity]=0)+(Table4[Discount]&gt;20%)),_xlfn._xlws.FILTER(Table4[Revenue], (Table4[Quantity]=0)+(Table4[Discount]&gt;20%)), -1)</f>
        <v>SO-00363</v>
      </c>
      <c r="I38" s="15">
        <v>45778</v>
      </c>
      <c r="J38" s="15" t="str">
        <v>Laptop</v>
      </c>
      <c r="K38" s="15" t="str">
        <v>North</v>
      </c>
      <c r="L38" s="15" t="str">
        <v>Corporate</v>
      </c>
      <c r="M38" s="15" t="str">
        <v>Consumer</v>
      </c>
      <c r="N38" s="15" t="str">
        <v>Lina</v>
      </c>
      <c r="O38" s="15">
        <v>2</v>
      </c>
      <c r="P38" s="16">
        <v>894.91</v>
      </c>
      <c r="Q38" s="17">
        <v>0.3</v>
      </c>
      <c r="R38" s="16">
        <v>1700.32</v>
      </c>
      <c r="S38" s="16">
        <v>1042.2</v>
      </c>
      <c r="T38" s="16">
        <v>658.12</v>
      </c>
      <c r="U38" s="15" t="str">
        <v>2025-05</v>
      </c>
    </row>
    <row r="39" spans="2:21" x14ac:dyDescent="0.3">
      <c r="B39" s="10" t="str">
        <v>SO-00381</v>
      </c>
      <c r="C39" s="10" t="str">
        <v>Headset</v>
      </c>
      <c r="D39" s="10" t="str">
        <v>East</v>
      </c>
      <c r="E39" s="10" t="str">
        <v>Retail Store</v>
      </c>
      <c r="F39" s="11">
        <v>220.35</v>
      </c>
      <c r="H39" s="15" t="str">
        <v>SO-00094</v>
      </c>
      <c r="I39" s="15">
        <v>45806</v>
      </c>
      <c r="J39" s="15" t="str">
        <v>Monitor</v>
      </c>
      <c r="K39" s="15" t="str">
        <v>East</v>
      </c>
      <c r="L39" s="15" t="str">
        <v>Online</v>
      </c>
      <c r="M39" s="15" t="str">
        <v>Consumer</v>
      </c>
      <c r="N39" s="15" t="str">
        <v>Hassan</v>
      </c>
      <c r="O39" s="15">
        <v>0</v>
      </c>
      <c r="P39" s="16">
        <v>303.57</v>
      </c>
      <c r="Q39" s="17">
        <v>0.05</v>
      </c>
      <c r="R39" s="16">
        <v>1441.94</v>
      </c>
      <c r="S39" s="16">
        <v>1059.8399999999999</v>
      </c>
      <c r="T39" s="16">
        <v>382.1</v>
      </c>
      <c r="U39" s="15" t="str">
        <v>2025-05</v>
      </c>
    </row>
    <row r="40" spans="2:21" x14ac:dyDescent="0.3">
      <c r="B40" s="10" t="str">
        <v>SO-00891</v>
      </c>
      <c r="C40" s="10" t="str">
        <v>SSD</v>
      </c>
      <c r="D40" s="10" t="str">
        <v>East</v>
      </c>
      <c r="E40" s="10" t="str">
        <v>Retail Store</v>
      </c>
      <c r="F40" s="11">
        <v>218.72</v>
      </c>
      <c r="H40" s="15" t="str">
        <v>SO-00209</v>
      </c>
      <c r="I40" s="15">
        <v>45762</v>
      </c>
      <c r="J40" s="15" t="str">
        <v>Smartphone</v>
      </c>
      <c r="K40" s="15" t="str">
        <v>North</v>
      </c>
      <c r="L40" s="15" t="str">
        <v>Corporate</v>
      </c>
      <c r="M40" s="15" t="str">
        <v>Consumer</v>
      </c>
      <c r="N40" s="15" t="str">
        <v>Omid</v>
      </c>
      <c r="O40" s="15">
        <v>1</v>
      </c>
      <c r="P40" s="16">
        <v>640.75</v>
      </c>
      <c r="Q40" s="17">
        <v>0.3</v>
      </c>
      <c r="R40" s="16">
        <v>621.53</v>
      </c>
      <c r="S40" s="16">
        <v>405.05</v>
      </c>
      <c r="T40" s="16">
        <v>216.48</v>
      </c>
      <c r="U40" s="15" t="str">
        <v>2025-04</v>
      </c>
    </row>
    <row r="41" spans="2:21" x14ac:dyDescent="0.3">
      <c r="B41" s="10" t="str">
        <v>SO-01066</v>
      </c>
      <c r="C41" s="10" t="str">
        <v>SSD</v>
      </c>
      <c r="D41" s="10" t="str">
        <v>East</v>
      </c>
      <c r="E41" s="10" t="str">
        <v>Retail Store</v>
      </c>
      <c r="F41" s="11">
        <v>213.57</v>
      </c>
      <c r="H41" s="15" t="str">
        <v>SO-00418</v>
      </c>
      <c r="I41" s="15">
        <v>45926</v>
      </c>
      <c r="J41" s="15" t="str">
        <v>SSD</v>
      </c>
      <c r="K41" s="15" t="str">
        <v>East</v>
      </c>
      <c r="L41" s="15" t="str">
        <v>Online</v>
      </c>
      <c r="M41" s="15" t="str">
        <v>Consumer</v>
      </c>
      <c r="N41" s="15" t="str">
        <v>Omid</v>
      </c>
      <c r="O41" s="15">
        <v>0</v>
      </c>
      <c r="P41" s="16">
        <v>120.99</v>
      </c>
      <c r="Q41" s="17">
        <v>0.03</v>
      </c>
      <c r="R41" s="16">
        <v>469.44</v>
      </c>
      <c r="S41" s="16">
        <v>360.8</v>
      </c>
      <c r="T41" s="16">
        <v>108.64</v>
      </c>
      <c r="U41" s="15" t="str">
        <v>2025-09</v>
      </c>
    </row>
    <row r="42" spans="2:21" x14ac:dyDescent="0.3">
      <c r="B42" s="10" t="str">
        <v>SO-01156</v>
      </c>
      <c r="C42" s="10" t="str">
        <v>Printer</v>
      </c>
      <c r="D42" s="10" t="str">
        <v>East</v>
      </c>
      <c r="E42" s="10" t="str">
        <v>Retail Store</v>
      </c>
      <c r="F42" s="11">
        <v>208.63</v>
      </c>
      <c r="H42" s="15" t="str">
        <v>SO-00205</v>
      </c>
      <c r="I42" s="15">
        <v>46000</v>
      </c>
      <c r="J42" s="15" t="str">
        <v>Printer</v>
      </c>
      <c r="K42" s="15" t="str">
        <v>West</v>
      </c>
      <c r="L42" s="15" t="str">
        <v>Corporate</v>
      </c>
      <c r="M42" s="15" t="str">
        <v>Consumer</v>
      </c>
      <c r="N42" s="15" t="str">
        <v>Hassan</v>
      </c>
      <c r="O42" s="15">
        <v>2</v>
      </c>
      <c r="P42" s="16">
        <v>189.83</v>
      </c>
      <c r="Q42" s="17">
        <v>0.3</v>
      </c>
      <c r="R42" s="16">
        <v>360.67</v>
      </c>
      <c r="S42" s="16">
        <v>237.43</v>
      </c>
      <c r="T42" s="16">
        <v>123.24</v>
      </c>
      <c r="U42" s="15" t="str">
        <v>2025-12</v>
      </c>
    </row>
    <row r="43" spans="2:21" x14ac:dyDescent="0.3">
      <c r="B43" s="10" t="str">
        <v>SO-01110</v>
      </c>
      <c r="C43" s="10" t="str">
        <v>Webcam</v>
      </c>
      <c r="D43" s="10" t="str">
        <v>East</v>
      </c>
      <c r="E43" s="10" t="str">
        <v>Retail Store</v>
      </c>
      <c r="F43" s="11">
        <v>197.53</v>
      </c>
      <c r="H43" s="15" t="str">
        <v>SO-00292</v>
      </c>
      <c r="I43" s="15">
        <v>46012</v>
      </c>
      <c r="J43" s="15" t="str">
        <v>Webcam</v>
      </c>
      <c r="K43" s="15" t="str">
        <v>West</v>
      </c>
      <c r="L43" s="15" t="str">
        <v>Online</v>
      </c>
      <c r="M43" s="15" t="str">
        <v>Small Business</v>
      </c>
      <c r="N43" s="15" t="str">
        <v>Lina</v>
      </c>
      <c r="O43" s="15">
        <v>0</v>
      </c>
      <c r="P43" s="16">
        <v>86.98</v>
      </c>
      <c r="Q43" s="17">
        <v>0.03</v>
      </c>
      <c r="R43" s="16">
        <v>168.73</v>
      </c>
      <c r="S43" s="16">
        <v>103.19</v>
      </c>
      <c r="T43" s="16">
        <v>65.540000000000006</v>
      </c>
      <c r="U43" s="15" t="str">
        <v>2025-12</v>
      </c>
    </row>
    <row r="44" spans="2:21" x14ac:dyDescent="0.3">
      <c r="B44" s="10" t="str">
        <v>SO-00393</v>
      </c>
      <c r="C44" s="10" t="str">
        <v>Headset</v>
      </c>
      <c r="D44" s="10" t="str">
        <v>East</v>
      </c>
      <c r="E44" s="10" t="str">
        <v>Retail Store</v>
      </c>
      <c r="F44" s="11">
        <v>195.34</v>
      </c>
      <c r="H44" s="15" t="str">
        <v>SO-00397</v>
      </c>
      <c r="I44" s="15">
        <v>45769</v>
      </c>
      <c r="J44" s="15" t="str">
        <v>Keyboard</v>
      </c>
      <c r="K44" s="15" t="str">
        <v>North</v>
      </c>
      <c r="L44" s="15" t="str">
        <v>Retail Store</v>
      </c>
      <c r="M44" s="15" t="str">
        <v>Small Business</v>
      </c>
      <c r="N44" s="15" t="str">
        <v>Hassan</v>
      </c>
      <c r="O44" s="15">
        <v>0</v>
      </c>
      <c r="P44" s="16">
        <v>49.97</v>
      </c>
      <c r="Q44" s="17">
        <v>0.05</v>
      </c>
      <c r="R44" s="16">
        <v>142.4</v>
      </c>
      <c r="S44" s="16">
        <v>115.38</v>
      </c>
      <c r="T44" s="16">
        <v>27.02</v>
      </c>
      <c r="U44" s="15" t="str">
        <v>2025-04</v>
      </c>
    </row>
    <row r="45" spans="2:21" x14ac:dyDescent="0.3">
      <c r="B45" s="10" t="str">
        <v>SO-00531</v>
      </c>
      <c r="C45" s="10" t="str">
        <v>Printer</v>
      </c>
      <c r="D45" s="10" t="str">
        <v>East</v>
      </c>
      <c r="E45" s="10" t="str">
        <v>Retail Store</v>
      </c>
      <c r="F45" s="11">
        <v>173.17</v>
      </c>
      <c r="H45" s="15" t="str">
        <v>SO-00955</v>
      </c>
      <c r="I45" s="15">
        <v>45937</v>
      </c>
      <c r="J45" s="15" t="str">
        <v>Mouse</v>
      </c>
      <c r="K45" s="15" t="str">
        <v>West</v>
      </c>
      <c r="L45" s="15" t="str">
        <v>Retail Store</v>
      </c>
      <c r="M45" s="15" t="str">
        <v>Small Business</v>
      </c>
      <c r="N45" s="15" t="str">
        <v>Lina</v>
      </c>
      <c r="O45" s="15">
        <v>4</v>
      </c>
      <c r="P45" s="16">
        <v>34.35</v>
      </c>
      <c r="Q45" s="17">
        <v>0.3</v>
      </c>
      <c r="R45" s="16">
        <v>123.65</v>
      </c>
      <c r="S45" s="16">
        <v>93.29</v>
      </c>
      <c r="T45" s="16">
        <v>30.36</v>
      </c>
      <c r="U45" s="15" t="str">
        <v>2025-10</v>
      </c>
    </row>
    <row r="46" spans="2:21" x14ac:dyDescent="0.3">
      <c r="B46" s="10" t="str">
        <v>SO-00596</v>
      </c>
      <c r="C46" s="10" t="str">
        <v>RAM</v>
      </c>
      <c r="D46" s="10" t="str">
        <v>East</v>
      </c>
      <c r="E46" s="10" t="str">
        <v>Retail Store</v>
      </c>
      <c r="F46" s="11">
        <v>150.51</v>
      </c>
    </row>
    <row r="47" spans="2:21" x14ac:dyDescent="0.3">
      <c r="B47" s="10" t="str">
        <v>SO-00382</v>
      </c>
      <c r="C47" s="10" t="str">
        <v>Headset</v>
      </c>
      <c r="D47" s="10" t="str">
        <v>East</v>
      </c>
      <c r="E47" s="10" t="str">
        <v>Retail Store</v>
      </c>
      <c r="F47" s="11">
        <v>150.22999999999999</v>
      </c>
    </row>
    <row r="48" spans="2:21" x14ac:dyDescent="0.3">
      <c r="B48" s="10" t="str">
        <v>SO-01108</v>
      </c>
      <c r="C48" s="10" t="str">
        <v>Keyboard</v>
      </c>
      <c r="D48" s="10" t="str">
        <v>East</v>
      </c>
      <c r="E48" s="10" t="str">
        <v>Retail Store</v>
      </c>
      <c r="F48" s="11">
        <v>148.13</v>
      </c>
      <c r="H48" s="28" t="s">
        <v>1256</v>
      </c>
      <c r="J48" s="5" t="s">
        <v>6</v>
      </c>
      <c r="K48" s="5" t="s">
        <v>10</v>
      </c>
      <c r="M48" s="5" t="s">
        <v>1272</v>
      </c>
      <c r="N48" s="5" t="s">
        <v>10</v>
      </c>
      <c r="P48" s="5" t="s">
        <v>1260</v>
      </c>
      <c r="Q48" s="5" t="s">
        <v>4</v>
      </c>
      <c r="R48" s="5" t="s">
        <v>1261</v>
      </c>
    </row>
    <row r="49" spans="2:18" x14ac:dyDescent="0.3">
      <c r="B49" s="10" t="str">
        <v>SO-00139</v>
      </c>
      <c r="C49" s="10" t="str">
        <v>RAM</v>
      </c>
      <c r="D49" s="10" t="str">
        <v>East</v>
      </c>
      <c r="E49" s="10" t="str">
        <v>Retail Store</v>
      </c>
      <c r="F49" s="11">
        <v>142.94</v>
      </c>
      <c r="H49" s="4" t="str" cm="1">
        <f t="array" ref="H49:H53">_xlfn.TAKE(G6:G17,5)</f>
        <v>Laptop</v>
      </c>
      <c r="J49" s="9" t="str" cm="1">
        <f t="array" ref="J49:J56">_xlfn.UNIQUE(Table4[Salesperson])</f>
        <v>Sara</v>
      </c>
      <c r="K49" s="9" cm="1">
        <f t="array" ref="K49:K56">SUMIFS(Table4[Revenue],Table4[Salesperson],_xlfn.ANCHORARRAY(J49))</f>
        <v>91361.939999999988</v>
      </c>
      <c r="M49" s="9" t="str" cm="1">
        <f t="array" ref="M49:M52">_xlfn.UNIQUE(Table4[Region])</f>
        <v>East</v>
      </c>
      <c r="N49" s="9" cm="1">
        <f t="array" ref="N49:N52">SUMIFS(Table4[Revenue],Table4[Region],_xlfn.ANCHORARRAY('Product Analysis'!M49))</f>
        <v>227909.98000000016</v>
      </c>
      <c r="P49" s="4" t="str" cm="1">
        <f t="array" ref="P49:P52">_xlfn.UNIQUE(SalesData!D2:D197)</f>
        <v>East</v>
      </c>
      <c r="Q49" s="4" t="str" cm="1">
        <f t="array" ref="Q49:Q51">_xlfn.UNIQUE(Table4[Channel])</f>
        <v>Retail Store</v>
      </c>
      <c r="R49" s="4" t="str" cm="1">
        <f t="array" ref="R49:R51">_xlfn.UNIQUE(Table4[CustomerSegment])</f>
        <v>Consumer</v>
      </c>
    </row>
    <row r="50" spans="2:18" x14ac:dyDescent="0.3">
      <c r="B50" s="10" t="str">
        <v>SO-00061</v>
      </c>
      <c r="C50" s="10" t="str">
        <v>Mouse</v>
      </c>
      <c r="D50" s="10" t="str">
        <v>East</v>
      </c>
      <c r="E50" s="10" t="str">
        <v>Retail Store</v>
      </c>
      <c r="F50" s="11">
        <v>131.22</v>
      </c>
      <c r="H50" s="4" t="str">
        <v>Smartphone</v>
      </c>
      <c r="J50" s="9" t="str">
        <v>Maryam</v>
      </c>
      <c r="K50" s="9">
        <v>122791.15999999993</v>
      </c>
      <c r="M50" s="9" t="str">
        <v>West</v>
      </c>
      <c r="N50" s="9">
        <v>204393.65000000008</v>
      </c>
      <c r="P50" s="4" t="str">
        <v>West</v>
      </c>
      <c r="Q50" s="4" t="str">
        <v>Online</v>
      </c>
      <c r="R50" s="4" t="str">
        <v>Enterprise</v>
      </c>
    </row>
    <row r="51" spans="2:18" x14ac:dyDescent="0.3">
      <c r="B51" s="10" t="str">
        <v>SO-01182</v>
      </c>
      <c r="C51" s="10" t="str">
        <v>Mouse</v>
      </c>
      <c r="D51" s="10" t="str">
        <v>East</v>
      </c>
      <c r="E51" s="10" t="str">
        <v>Retail Store</v>
      </c>
      <c r="F51" s="11">
        <v>129.4</v>
      </c>
      <c r="H51" s="4" t="str">
        <v>Tablet</v>
      </c>
      <c r="J51" s="9" t="str">
        <v>Hassan</v>
      </c>
      <c r="K51" s="9">
        <v>124139.68000000005</v>
      </c>
      <c r="M51" s="9" t="str">
        <v>North</v>
      </c>
      <c r="N51" s="9">
        <v>245363.52000000019</v>
      </c>
      <c r="P51" s="4" t="str">
        <v>North</v>
      </c>
      <c r="Q51" s="4" t="str">
        <v>Corporate</v>
      </c>
      <c r="R51" s="4" t="str">
        <v>Small Business</v>
      </c>
    </row>
    <row r="52" spans="2:18" x14ac:dyDescent="0.3">
      <c r="B52" s="10" t="str">
        <v>SO-00479</v>
      </c>
      <c r="C52" s="10" t="str">
        <v>Mouse</v>
      </c>
      <c r="D52" s="10" t="str">
        <v>East</v>
      </c>
      <c r="E52" s="10" t="str">
        <v>Retail Store</v>
      </c>
      <c r="F52" s="11">
        <v>119.23</v>
      </c>
      <c r="H52" s="4" t="str">
        <v>Monitor</v>
      </c>
      <c r="J52" s="9" t="str">
        <v>Bilal</v>
      </c>
      <c r="K52" s="9">
        <v>104885.98999999993</v>
      </c>
      <c r="M52" s="9" t="str">
        <v>South</v>
      </c>
      <c r="N52" s="9">
        <v>192643.22000000006</v>
      </c>
      <c r="P52" s="4" t="str">
        <v>South</v>
      </c>
      <c r="Q52" s="4"/>
      <c r="R52" s="4"/>
    </row>
    <row r="53" spans="2:18" x14ac:dyDescent="0.3">
      <c r="B53" s="10" t="str">
        <v>SO-01118</v>
      </c>
      <c r="C53" s="10" t="str">
        <v>SSD</v>
      </c>
      <c r="D53" s="10" t="str">
        <v>East</v>
      </c>
      <c r="E53" s="10" t="str">
        <v>Retail Store</v>
      </c>
      <c r="F53" s="11">
        <v>89.29</v>
      </c>
      <c r="H53" s="4" t="str">
        <v>Printer</v>
      </c>
      <c r="J53" s="9" t="str">
        <v>Omid</v>
      </c>
      <c r="K53" s="9">
        <v>90996.259999999966</v>
      </c>
    </row>
    <row r="54" spans="2:18" x14ac:dyDescent="0.3">
      <c r="B54" s="10" t="str">
        <v>SO-00526</v>
      </c>
      <c r="C54" s="10" t="str">
        <v>RAM</v>
      </c>
      <c r="D54" s="10" t="str">
        <v>East</v>
      </c>
      <c r="E54" s="10" t="str">
        <v>Retail Store</v>
      </c>
      <c r="F54" s="11">
        <v>81.96</v>
      </c>
      <c r="J54" s="9" t="str">
        <v>Aisha</v>
      </c>
      <c r="K54" s="9">
        <v>122479.57000000002</v>
      </c>
    </row>
    <row r="55" spans="2:18" x14ac:dyDescent="0.3">
      <c r="B55" s="10" t="str">
        <v>SO-00090</v>
      </c>
      <c r="C55" s="10" t="str">
        <v>Headset</v>
      </c>
      <c r="D55" s="10" t="str">
        <v>East</v>
      </c>
      <c r="E55" s="10" t="str">
        <v>Retail Store</v>
      </c>
      <c r="F55" s="11">
        <v>75.12</v>
      </c>
      <c r="J55" s="9" t="str">
        <v>Lina</v>
      </c>
      <c r="K55" s="9">
        <v>130416.53</v>
      </c>
    </row>
    <row r="56" spans="2:18" x14ac:dyDescent="0.3">
      <c r="B56" s="10" t="str">
        <v>SO-01117</v>
      </c>
      <c r="C56" s="10" t="str">
        <v>Mouse</v>
      </c>
      <c r="D56" s="10" t="str">
        <v>East</v>
      </c>
      <c r="E56" s="10" t="str">
        <v>Retail Store</v>
      </c>
      <c r="F56" s="11">
        <v>61.54</v>
      </c>
      <c r="J56" s="9" t="str">
        <v>Farid</v>
      </c>
      <c r="K56" s="9">
        <v>83239.239999999991</v>
      </c>
    </row>
    <row r="57" spans="2:18" x14ac:dyDescent="0.3">
      <c r="B57" s="10" t="str">
        <v>SO-00777</v>
      </c>
      <c r="C57" s="10" t="str">
        <v>Mouse</v>
      </c>
      <c r="D57" s="10" t="str">
        <v>East</v>
      </c>
      <c r="E57" s="10" t="str">
        <v>Retail Store</v>
      </c>
      <c r="F57" s="11">
        <v>56.98</v>
      </c>
    </row>
    <row r="58" spans="2:18" x14ac:dyDescent="0.3">
      <c r="B58" s="10" t="str">
        <v>SO-00334</v>
      </c>
      <c r="C58" s="10" t="str">
        <v>Mouse</v>
      </c>
      <c r="D58" s="10" t="str">
        <v>East</v>
      </c>
      <c r="E58" s="10" t="str">
        <v>Retail Store</v>
      </c>
      <c r="F58" s="11">
        <v>28.76</v>
      </c>
    </row>
  </sheetData>
  <dataValidations count="3">
    <dataValidation type="list" allowBlank="1" showInputMessage="1" showErrorMessage="1" sqref="C20 M16" xr:uid="{B929AF43-077E-4587-B07E-F0C090E3ED0F}">
      <formula1>$Q$49:$Q$51</formula1>
    </dataValidation>
    <dataValidation type="list" allowBlank="1" showInputMessage="1" showErrorMessage="1" sqref="C21 M17" xr:uid="{6765662E-1747-4C25-84F0-B82869EBD657}">
      <formula1>$R$49:$R$51</formula1>
    </dataValidation>
    <dataValidation type="list" allowBlank="1" showInputMessage="1" showErrorMessage="1" sqref="C19 M15" xr:uid="{6EE006D8-8326-4C19-AB56-3791E48CAB8E}">
      <formula1>$P$49:$P$52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Arsalan</cp:lastModifiedBy>
  <dcterms:created xsi:type="dcterms:W3CDTF">2026-09-20T16:11:29Z</dcterms:created>
  <dcterms:modified xsi:type="dcterms:W3CDTF">2026-09-22T15:05:08Z</dcterms:modified>
</cp:coreProperties>
</file>